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n\OneDrive\Documents\superstore_analysis\sql_dashboard\"/>
    </mc:Choice>
  </mc:AlternateContent>
  <xr:revisionPtr revIDLastSave="0" documentId="13_ncr:1_{F9CB151A-0C00-4585-BFB7-6AF30906B6BD}" xr6:coauthVersionLast="47" xr6:coauthVersionMax="47" xr10:uidLastSave="{00000000-0000-0000-0000-000000000000}"/>
  <bookViews>
    <workbookView xWindow="-108" yWindow="-108" windowWidth="23256" windowHeight="12456" xr2:uid="{BEB41C8D-5E0E-46CA-BF75-2401A852AC8B}"/>
  </bookViews>
  <sheets>
    <sheet name="Dashboard" sheetId="3" r:id="rId1"/>
    <sheet name="KPIS" sheetId="2" r:id="rId2"/>
    <sheet name="Yearly" sheetId="4" r:id="rId3"/>
    <sheet name="YOY_Growth" sheetId="5" r:id="rId4"/>
    <sheet name="Monthly" sheetId="6" r:id="rId5"/>
    <sheet name="Montly_Pivot" sheetId="14" r:id="rId6"/>
    <sheet name="Regional" sheetId="7" r:id="rId7"/>
    <sheet name="Category" sheetId="8" r:id="rId8"/>
    <sheet name="Top_Products" sheetId="9" r:id="rId9"/>
    <sheet name="Bottom_Products" sheetId="10" r:id="rId10"/>
    <sheet name="Segments" sheetId="11" r:id="rId11"/>
    <sheet name="Shipping" sheetId="12" r:id="rId12"/>
    <sheet name="State" sheetId="13" r:id="rId13"/>
  </sheets>
  <definedNames>
    <definedName name="ExternalData_1" localSheetId="9" hidden="1">Bottom_Products!$A$1:$F$11</definedName>
    <definedName name="ExternalData_1" localSheetId="7" hidden="1">Category!$A$1:$G$18</definedName>
    <definedName name="ExternalData_1" localSheetId="1" hidden="1">KPIS!$A$1:$F$2</definedName>
    <definedName name="ExternalData_1" localSheetId="4" hidden="1">Monthly!$A$1:$H$49</definedName>
    <definedName name="ExternalData_1" localSheetId="6" hidden="1">Regional!$A$1:$F$5</definedName>
    <definedName name="ExternalData_1" localSheetId="10" hidden="1">Segments!$A$1:$F$4</definedName>
    <definedName name="ExternalData_1" localSheetId="11" hidden="1">Shipping!$A$1:$F$5</definedName>
    <definedName name="ExternalData_1" localSheetId="12" hidden="1">State!$A$1:$F$50</definedName>
    <definedName name="ExternalData_1" localSheetId="8" hidden="1">Top_Products!$A$1:$F$11</definedName>
    <definedName name="ExternalData_1" localSheetId="2" hidden="1">Yearly!$A$1:$F$5</definedName>
    <definedName name="ExternalData_1" localSheetId="3" hidden="1">YOY_Growth!$A$1:$E$5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8" l="1"/>
  <c r="K2" i="8"/>
  <c r="K3" i="8"/>
  <c r="B3" i="14"/>
  <c r="C3" i="14"/>
  <c r="D3" i="14"/>
  <c r="E3" i="14"/>
  <c r="B4" i="14"/>
  <c r="C4" i="14"/>
  <c r="D4" i="14"/>
  <c r="E4" i="14"/>
  <c r="B5" i="14"/>
  <c r="C5" i="14"/>
  <c r="D5" i="14"/>
  <c r="E5" i="14"/>
  <c r="B6" i="14"/>
  <c r="C6" i="14"/>
  <c r="D6" i="14"/>
  <c r="E6" i="14"/>
  <c r="B7" i="14"/>
  <c r="C7" i="14"/>
  <c r="D7" i="14"/>
  <c r="E7" i="14"/>
  <c r="B8" i="14"/>
  <c r="C8" i="14"/>
  <c r="D8" i="14"/>
  <c r="E8" i="14"/>
  <c r="B9" i="14"/>
  <c r="C9" i="14"/>
  <c r="D9" i="14"/>
  <c r="E9" i="14"/>
  <c r="B10" i="14"/>
  <c r="C10" i="14"/>
  <c r="D10" i="14"/>
  <c r="E10" i="14"/>
  <c r="B11" i="14"/>
  <c r="C11" i="14"/>
  <c r="D11" i="14"/>
  <c r="E11" i="14"/>
  <c r="B12" i="14"/>
  <c r="C12" i="14"/>
  <c r="D12" i="14"/>
  <c r="E12" i="14"/>
  <c r="B13" i="14"/>
  <c r="C13" i="14"/>
  <c r="D13" i="14"/>
  <c r="E13" i="14"/>
  <c r="C2" i="14"/>
  <c r="D2" i="14"/>
  <c r="E2" i="14"/>
  <c r="B2" i="14"/>
  <c r="D5" i="3"/>
  <c r="F5" i="3"/>
  <c r="L5" i="3"/>
  <c r="J5" i="3"/>
  <c r="H5" i="3"/>
  <c r="B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A4A3A3-28BE-43B0-894E-B8457EE5D601}" keepAlive="1" name="Query - 01_overall_kpis" description="Connection to the '01_overall_kpis' query in the workbook." type="5" refreshedVersion="8" background="1" saveData="1">
    <dbPr connection="Provider=Microsoft.Mashup.OleDb.1;Data Source=$Workbook$;Location=01_overall_kpis;Extended Properties=&quot;&quot;" command="SELECT * FROM [01_overall_kpis]"/>
  </connection>
  <connection id="2" xr16:uid="{FA009BE9-8509-4EDD-BB92-7DD80D2E839D}" keepAlive="1" name="Query - 02_yearly_sales" description="Connection to the '02_yearly_sales' query in the workbook." type="5" refreshedVersion="8" background="1" saveData="1">
    <dbPr connection="Provider=Microsoft.Mashup.OleDb.1;Data Source=$Workbook$;Location=02_yearly_sales;Extended Properties=&quot;&quot;" command="SELECT * FROM [02_yearly_sales]"/>
  </connection>
  <connection id="3" xr16:uid="{3370AF3C-4F33-451A-B207-2DE847B94364}" keepAlive="1" name="Query - 03_yoy_growth_rate" description="Connection to the '03_yoy_growth_rate' query in the workbook." type="5" refreshedVersion="8" background="1" saveData="1">
    <dbPr connection="Provider=Microsoft.Mashup.OleDb.1;Data Source=$Workbook$;Location=03_yoy_growth_rate;Extended Properties=&quot;&quot;" command="SELECT * FROM [03_yoy_growth_rate]"/>
  </connection>
  <connection id="4" xr16:uid="{14D1073E-E7D7-498B-976A-A63CE8F57AA7}" keepAlive="1" name="Query - 04_monthly_sales" description="Connection to the '04_monthly_sales' query in the workbook." type="5" refreshedVersion="8" background="1" saveData="1">
    <dbPr connection="Provider=Microsoft.Mashup.OleDb.1;Data Source=$Workbook$;Location=04_monthly_sales;Extended Properties=&quot;&quot;" command="SELECT * FROM [04_monthly_sales]"/>
  </connection>
  <connection id="5" xr16:uid="{4E05132B-85C1-4C94-A9AC-4E4AD8D06527}" keepAlive="1" name="Query - 05_regional_sales" description="Connection to the '05_regional_sales' query in the workbook." type="5" refreshedVersion="8" background="1" saveData="1">
    <dbPr connection="Provider=Microsoft.Mashup.OleDb.1;Data Source=$Workbook$;Location=05_regional_sales;Extended Properties=&quot;&quot;" command="SELECT * FROM [05_regional_sales]"/>
  </connection>
  <connection id="6" xr16:uid="{B9459332-63FE-4E56-B390-0D9B66BD96EB}" keepAlive="1" name="Query - 06_category_sales" description="Connection to the '06_category_sales' query in the workbook." type="5" refreshedVersion="8" background="1" saveData="1">
    <dbPr connection="Provider=Microsoft.Mashup.OleDb.1;Data Source=$Workbook$;Location=06_category_sales;Extended Properties=&quot;&quot;" command="SELECT * FROM [06_category_sales]"/>
  </connection>
  <connection id="7" xr16:uid="{979B3887-CAAC-463A-9A3C-A301913A7DF4}" keepAlive="1" name="Query - 07_top_product" description="Connection to the '07_top_product' query in the workbook." type="5" refreshedVersion="8" background="1" saveData="1">
    <dbPr connection="Provider=Microsoft.Mashup.OleDb.1;Data Source=$Workbook$;Location=07_top_product;Extended Properties=&quot;&quot;" command="SELECT * FROM [07_top_product]"/>
  </connection>
  <connection id="8" xr16:uid="{E1C0ABA8-9CA1-4189-BB4F-EFDF7EA23E76}" keepAlive="1" name="Query - 08_bottom_product" description="Connection to the '08_bottom_product' query in the workbook." type="5" refreshedVersion="8" background="1" saveData="1">
    <dbPr connection="Provider=Microsoft.Mashup.OleDb.1;Data Source=$Workbook$;Location=08_bottom_product;Extended Properties=&quot;&quot;" command="SELECT * FROM [08_bottom_product]"/>
  </connection>
  <connection id="9" xr16:uid="{06EBD7E9-AC3C-44AB-AE86-280EBAE591CD}" keepAlive="1" name="Query - 09_segment_sales" description="Connection to the '09_segment_sales' query in the workbook." type="5" refreshedVersion="8" background="1" saveData="1">
    <dbPr connection="Provider=Microsoft.Mashup.OleDb.1;Data Source=$Workbook$;Location=09_segment_sales;Extended Properties=&quot;&quot;" command="SELECT * FROM [09_segment_sales]"/>
  </connection>
  <connection id="10" xr16:uid="{6D4161B2-200D-416B-9035-70283651E748}" keepAlive="1" name="Query - 10_shipping_sales" description="Connection to the '10_shipping_sales' query in the workbook." type="5" refreshedVersion="8" background="1" saveData="1">
    <dbPr connection="Provider=Microsoft.Mashup.OleDb.1;Data Source=$Workbook$;Location=10_shipping_sales;Extended Properties=&quot;&quot;" command="SELECT * FROM [10_shipping_sales]"/>
  </connection>
  <connection id="11" xr16:uid="{32067D3F-C496-4868-AE22-22643866A860}" keepAlive="1" name="Query - 11_state_sales" description="Connection to the '11_state_sales' query in the workbook." type="5" refreshedVersion="8" background="1" saveData="1">
    <dbPr connection="Provider=Microsoft.Mashup.OleDb.1;Data Source=$Workbook$;Location=11_state_sales;Extended Properties=&quot;&quot;" command="SELECT * FROM [11_state_sales]"/>
  </connection>
</connections>
</file>

<file path=xl/sharedStrings.xml><?xml version="1.0" encoding="utf-8"?>
<sst xmlns="http://schemas.openxmlformats.org/spreadsheetml/2006/main" count="341" uniqueCount="158">
  <si>
    <t>total_sales</t>
  </si>
  <si>
    <t>total_profit</t>
  </si>
  <si>
    <t>profit_sales_margin</t>
  </si>
  <si>
    <t>total_orders</t>
  </si>
  <si>
    <t>avg_order_value</t>
  </si>
  <si>
    <t>total_quantity</t>
  </si>
  <si>
    <t>order_year</t>
  </si>
  <si>
    <t>profit_sales_margin_pr</t>
  </si>
  <si>
    <t>sales_growth_pct</t>
  </si>
  <si>
    <t>profit_growth_pct</t>
  </si>
  <si>
    <t>NULL</t>
  </si>
  <si>
    <t>order_month</t>
  </si>
  <si>
    <t>month_name</t>
  </si>
  <si>
    <t>monthly_sales_total</t>
  </si>
  <si>
    <t>monthly_profit_total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</si>
  <si>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</si>
  <si>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</si>
  <si>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</si>
  <si>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</si>
  <si>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</si>
  <si>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</si>
  <si>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</si>
  <si>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</si>
  <si>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</si>
  <si>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</si>
  <si>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</si>
  <si>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</si>
  <si>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</si>
  <si>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West</t>
  </si>
  <si>
    <t>East</t>
  </si>
  <si>
    <t>Central</t>
  </si>
  <si>
    <t>South</t>
  </si>
  <si>
    <t>category</t>
  </si>
  <si>
    <t>subcategory</t>
  </si>
  <si>
    <t>Technology</t>
  </si>
  <si>
    <t>Phones</t>
  </si>
  <si>
    <t>Furniture</t>
  </si>
  <si>
    <t>Chairs</t>
  </si>
  <si>
    <t>Office Supplies</t>
  </si>
  <si>
    <t>Storage</t>
  </si>
  <si>
    <t>Tables</t>
  </si>
  <si>
    <t>Binders</t>
  </si>
  <si>
    <t>Machines</t>
  </si>
  <si>
    <t>Accessories</t>
  </si>
  <si>
    <t>Copiers</t>
  </si>
  <si>
    <t>Bookcases</t>
  </si>
  <si>
    <t>Appliances</t>
  </si>
  <si>
    <t>Furnishings</t>
  </si>
  <si>
    <t>Paper</t>
  </si>
  <si>
    <t>Supplies</t>
  </si>
  <si>
    <t>Art</t>
  </si>
  <si>
    <t>Envelopes</t>
  </si>
  <si>
    <t>Labels</t>
  </si>
  <si>
    <t>Fasteners</t>
  </si>
  <si>
    <t>product_name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</si>
  <si>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</si>
  <si>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</si>
  <si>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</si>
  <si>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</si>
  <si>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</si>
  <si>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</si>
  <si>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</si>
  <si>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 Color"</t>
  </si>
  <si>
    <t>GBC DocuBind P400 Electric Binding System</t>
  </si>
  <si>
    <t>High Speed Automatic Electric Letter Opener</t>
  </si>
  <si>
    <t>Cubify CubeX 3D Printer Double Head Print</t>
  </si>
  <si>
    <t>Lexmark MX611dhe Monochrome Laser Printer</t>
  </si>
  <si>
    <t>Cubify CubeX 3D Printer Triple Head Print</t>
  </si>
  <si>
    <t>Chromcraft Bull-Nose Wood Oval Conference Tables &amp; Bases</t>
  </si>
  <si>
    <t>Bush Advantage Collection Racetrack Conference Table</t>
  </si>
  <si>
    <t>Martin Yale Chadless Opener Electric Letter Opener</t>
  </si>
  <si>
    <t>Balt Solid Wood Round Tables</t>
  </si>
  <si>
    <t>BoxOffice By Design Rectangular and Half-Moon Meeting Room Tables</t>
  </si>
  <si>
    <t>segment</t>
  </si>
  <si>
    <t>profit_margin_pct</t>
  </si>
  <si>
    <t>Consumer</t>
  </si>
  <si>
    <t>Corporate</t>
  </si>
  <si>
    <t>Home Office</t>
  </si>
  <si>
    <t>ship_mode</t>
  </si>
  <si>
    <t>total_order</t>
  </si>
  <si>
    <t>Standard Class</t>
  </si>
  <si>
    <t>Second Class</t>
  </si>
  <si>
    <t>First Class</t>
  </si>
  <si>
    <t>Same Day</t>
  </si>
  <si>
    <t>state</t>
  </si>
  <si>
    <t>California</t>
  </si>
  <si>
    <t>New York</t>
  </si>
  <si>
    <t>Texas</t>
  </si>
  <si>
    <t>Washington</t>
  </si>
  <si>
    <t>Pennsylvania</t>
  </si>
  <si>
    <t>Florida</t>
  </si>
  <si>
    <t>Illinois</t>
  </si>
  <si>
    <t>Ohio</t>
  </si>
  <si>
    <t>Michigan</t>
  </si>
  <si>
    <t>Virginia</t>
  </si>
  <si>
    <t>North Carolina</t>
  </si>
  <si>
    <t>Indiana</t>
  </si>
  <si>
    <t>Georgia</t>
  </si>
  <si>
    <t>Kentucky</t>
  </si>
  <si>
    <t>New Jersey</t>
  </si>
  <si>
    <t>Arizona</t>
  </si>
  <si>
    <t>Wisconsin</t>
  </si>
  <si>
    <t>Colorado</t>
  </si>
  <si>
    <t>Tennessee</t>
  </si>
  <si>
    <t>Minnesota</t>
  </si>
  <si>
    <t>Massachusetts</t>
  </si>
  <si>
    <t>Delaware</t>
  </si>
  <si>
    <t>Maryland</t>
  </si>
  <si>
    <t>Rhode Island</t>
  </si>
  <si>
    <t>Missouri</t>
  </si>
  <si>
    <t>Oklahoma</t>
  </si>
  <si>
    <t>Alabama</t>
  </si>
  <si>
    <t>Oregon</t>
  </si>
  <si>
    <t>Nevada</t>
  </si>
  <si>
    <t>Connecticut</t>
  </si>
  <si>
    <t>Arkansas</t>
  </si>
  <si>
    <t>Utah</t>
  </si>
  <si>
    <t>Mississippi</t>
  </si>
  <si>
    <t>Louisiana</t>
  </si>
  <si>
    <t>Vermont</t>
  </si>
  <si>
    <t>South Carolina</t>
  </si>
  <si>
    <t>Nebraska</t>
  </si>
  <si>
    <t>New Hampshire</t>
  </si>
  <si>
    <t>Montana</t>
  </si>
  <si>
    <t>New Mexico</t>
  </si>
  <si>
    <t>Iowa</t>
  </si>
  <si>
    <t>Idaho</t>
  </si>
  <si>
    <t>Kansas</t>
  </si>
  <si>
    <t>District of Columbia</t>
  </si>
  <si>
    <t>Wyoming</t>
  </si>
  <si>
    <t>South Dakota</t>
  </si>
  <si>
    <t>Maine</t>
  </si>
  <si>
    <t>West Virginia</t>
  </si>
  <si>
    <t>North Dakota</t>
  </si>
  <si>
    <t>Superstore E-commerce Sales Analysis</t>
  </si>
  <si>
    <t>Total Sales</t>
  </si>
  <si>
    <t>Total Profit</t>
  </si>
  <si>
    <t>Profit Sales Margin</t>
  </si>
  <si>
    <t>Total Orders</t>
  </si>
  <si>
    <t>Avg Order Value</t>
  </si>
  <si>
    <t>Units Sold</t>
  </si>
  <si>
    <t>Sales Trend and Year-Over-Year Growth</t>
  </si>
  <si>
    <t>Month</t>
  </si>
  <si>
    <t xml:space="preserve">February </t>
  </si>
  <si>
    <t>Category</t>
  </si>
  <si>
    <t>Regional &amp; Category Performance</t>
  </si>
  <si>
    <t>Canon Copier</t>
  </si>
  <si>
    <t xml:space="preserve">Fellowes PB500 </t>
  </si>
  <si>
    <t xml:space="preserve">Cisco TelePresence </t>
  </si>
  <si>
    <t xml:space="preserve">HON 5400 Chairs </t>
  </si>
  <si>
    <t xml:space="preserve">GBC DocuBind TL300 </t>
  </si>
  <si>
    <t xml:space="preserve">GBC Ibimaster 500 </t>
  </si>
  <si>
    <t xml:space="preserve">Hewlett LaserJet 3310 </t>
  </si>
  <si>
    <t>HP Designjet T520</t>
  </si>
  <si>
    <t xml:space="preserve">GBC DocuBind P400 </t>
  </si>
  <si>
    <t>Electric Letter Opener</t>
  </si>
  <si>
    <t>Product &amp; Customer Insights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</si>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</sst>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\$#,##0,&quot;K&quot;"/>
    <numFmt numFmtId="170" formatCode="0.00&quot;%&quot;"/>
    <numFmt numFmtId="171" formatCode="\$#,##0.00,,&quot;M&quot;"/>
    <numFmt numFmtId="172" formatCode="\$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2" tint="-0.499984740745262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20"/>
      <color rgb="FF002060"/>
      <name val="Aptos Narrow"/>
      <family val="2"/>
      <scheme val="minor"/>
    </font>
    <font>
      <sz val="18"/>
      <color rgb="FF002060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sz val="18"/>
      <color rgb="FF002060"/>
      <name val="Aptos Narrow"/>
      <family val="2"/>
      <scheme val="minor"/>
    </font>
    <font>
      <b/>
      <sz val="22"/>
      <color rgb="FF40404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0" fillId="0" borderId="0" xfId="0" applyNumberFormat="1"/>
    <xf numFmtId="0" fontId="2" fillId="6" borderId="3" xfId="0" applyFont="1" applyFill="1" applyBorder="1"/>
    <xf numFmtId="0" fontId="2" fillId="6" borderId="4" xfId="0" applyFont="1" applyFill="1" applyBorder="1"/>
    <xf numFmtId="0" fontId="0" fillId="7" borderId="5" xfId="0" applyFont="1" applyFill="1" applyBorder="1"/>
    <xf numFmtId="0" fontId="0" fillId="8" borderId="5" xfId="0" applyFont="1" applyFill="1" applyBorder="1"/>
    <xf numFmtId="0" fontId="0" fillId="8" borderId="7" xfId="0" applyFont="1" applyFill="1" applyBorder="1"/>
    <xf numFmtId="0" fontId="2" fillId="9" borderId="3" xfId="0" applyFont="1" applyFill="1" applyBorder="1"/>
    <xf numFmtId="0" fontId="2" fillId="9" borderId="4" xfId="0" applyFont="1" applyFill="1" applyBorder="1"/>
    <xf numFmtId="0" fontId="0" fillId="10" borderId="6" xfId="0" applyFont="1" applyFill="1" applyBorder="1"/>
    <xf numFmtId="0" fontId="0" fillId="11" borderId="6" xfId="0" applyFont="1" applyFill="1" applyBorder="1"/>
    <xf numFmtId="0" fontId="0" fillId="11" borderId="8" xfId="0" applyFont="1" applyFill="1" applyBorder="1"/>
    <xf numFmtId="0" fontId="2" fillId="4" borderId="9" xfId="0" applyFont="1" applyFill="1" applyBorder="1"/>
    <xf numFmtId="0" fontId="0" fillId="5" borderId="9" xfId="0" applyFont="1" applyFill="1" applyBorder="1"/>
    <xf numFmtId="0" fontId="0" fillId="0" borderId="9" xfId="0" applyFont="1" applyBorder="1"/>
    <xf numFmtId="0" fontId="0" fillId="12" borderId="0" xfId="0" applyFill="1"/>
    <xf numFmtId="0" fontId="0" fillId="13" borderId="10" xfId="0" applyFill="1" applyBorder="1"/>
    <xf numFmtId="0" fontId="0" fillId="13" borderId="11" xfId="0" applyFill="1" applyBorder="1"/>
    <xf numFmtId="0" fontId="0" fillId="13" borderId="13" xfId="0" applyFill="1" applyBorder="1"/>
    <xf numFmtId="0" fontId="3" fillId="13" borderId="12" xfId="0" applyFont="1" applyFill="1" applyBorder="1"/>
    <xf numFmtId="0" fontId="4" fillId="13" borderId="12" xfId="0" applyFont="1" applyFill="1" applyBorder="1"/>
    <xf numFmtId="168" fontId="5" fillId="13" borderId="12" xfId="0" applyNumberFormat="1" applyFont="1" applyFill="1" applyBorder="1"/>
    <xf numFmtId="170" fontId="6" fillId="13" borderId="12" xfId="1" applyNumberFormat="1" applyFont="1" applyFill="1" applyBorder="1"/>
    <xf numFmtId="171" fontId="5" fillId="13" borderId="12" xfId="0" applyNumberFormat="1" applyFont="1" applyFill="1" applyBorder="1"/>
    <xf numFmtId="3" fontId="5" fillId="13" borderId="12" xfId="0" applyNumberFormat="1" applyFont="1" applyFill="1" applyBorder="1"/>
    <xf numFmtId="0" fontId="0" fillId="14" borderId="0" xfId="0" applyFill="1"/>
    <xf numFmtId="0" fontId="7" fillId="14" borderId="0" xfId="0" applyFont="1" applyFill="1"/>
    <xf numFmtId="0" fontId="0" fillId="13" borderId="14" xfId="0" applyFill="1" applyBorder="1"/>
    <xf numFmtId="0" fontId="0" fillId="13" borderId="15" xfId="0" applyFill="1" applyBorder="1"/>
    <xf numFmtId="172" fontId="5" fillId="13" borderId="12" xfId="1" applyNumberFormat="1" applyFont="1" applyFill="1" applyBorder="1"/>
    <xf numFmtId="0" fontId="0" fillId="7" borderId="6" xfId="0" applyNumberFormat="1" applyFont="1" applyFill="1" applyBorder="1"/>
    <xf numFmtId="0" fontId="0" fillId="8" borderId="6" xfId="0" applyNumberFormat="1" applyFont="1" applyFill="1" applyBorder="1"/>
    <xf numFmtId="0" fontId="0" fillId="8" borderId="8" xfId="0" applyNumberFormat="1" applyFont="1" applyFill="1" applyBorder="1"/>
    <xf numFmtId="0" fontId="0" fillId="10" borderId="5" xfId="0" applyNumberFormat="1" applyFont="1" applyFill="1" applyBorder="1"/>
    <xf numFmtId="0" fontId="0" fillId="11" borderId="5" xfId="0" applyNumberFormat="1" applyFont="1" applyFill="1" applyBorder="1"/>
    <xf numFmtId="0" fontId="0" fillId="11" borderId="7" xfId="0" applyNumberFormat="1" applyFont="1" applyFill="1" applyBorder="1"/>
    <xf numFmtId="0" fontId="0" fillId="5" borderId="9" xfId="0" applyNumberFormat="1" applyFont="1" applyFill="1" applyBorder="1"/>
    <xf numFmtId="0" fontId="0" fillId="0" borderId="9" xfId="0" applyNumberFormat="1" applyFont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8" fillId="12" borderId="0" xfId="0" applyFont="1" applyFill="1"/>
    <xf numFmtId="0" fontId="9" fillId="12" borderId="0" xfId="0" applyFont="1" applyFill="1"/>
  </cellXfs>
  <cellStyles count="2">
    <cellStyle name="Normal" xfId="0" builtinId="0"/>
    <cellStyle name="Per cent" xfId="1" builtinId="5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D7D31"/>
      <color rgb="FFFFFF99"/>
      <color rgb="FFD3D3D3"/>
      <color rgb="FF808080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 (2014-2017)</a:t>
            </a:r>
            <a:endParaRPr lang="en-IN"/>
          </a:p>
        </c:rich>
      </c:tx>
      <c:layout>
        <c:manualLayout>
          <c:xMode val="edge"/>
          <c:yMode val="edge"/>
          <c:x val="0.40837594697923718"/>
          <c:y val="9.3749999999999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8170510277259801E-2"/>
          <c:y val="0.20064819371536891"/>
          <c:w val="0.86458573928258964"/>
          <c:h val="0.50082677165354328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28575" cap="rnd">
              <a:solidFill>
                <a:srgbClr val="808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808080"/>
              </a:solidFill>
              <a:ln w="9525">
                <a:solidFill>
                  <a:srgbClr val="808080"/>
                </a:solidFill>
              </a:ln>
              <a:effectLst/>
            </c:spPr>
          </c:marker>
          <c:cat>
            <c:strRef>
              <c:f>Montly_Pivot!$F$2:$F$13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Montly_Pivot!$B$1:$B$13</c:f>
              <c:numCache>
                <c:formatCode>General</c:formatCode>
                <c:ptCount val="13"/>
                <c:pt idx="0">
                  <c:v>2014</c:v>
                </c:pt>
                <c:pt idx="1">
                  <c:v>14236.9</c:v>
                </c:pt>
                <c:pt idx="2">
                  <c:v>4519.92</c:v>
                </c:pt>
                <c:pt idx="3">
                  <c:v>55691.040000000001</c:v>
                </c:pt>
                <c:pt idx="4">
                  <c:v>28295.35</c:v>
                </c:pt>
                <c:pt idx="5">
                  <c:v>23648.28</c:v>
                </c:pt>
                <c:pt idx="6">
                  <c:v>34595.14</c:v>
                </c:pt>
                <c:pt idx="7">
                  <c:v>33946.370000000003</c:v>
                </c:pt>
                <c:pt idx="8">
                  <c:v>27909.47</c:v>
                </c:pt>
                <c:pt idx="9">
                  <c:v>81777.34</c:v>
                </c:pt>
                <c:pt idx="10">
                  <c:v>31453.37</c:v>
                </c:pt>
                <c:pt idx="11">
                  <c:v>78628.740000000005</c:v>
                </c:pt>
                <c:pt idx="12">
                  <c:v>69545.64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45-451D-9A4D-A7C49FC6BACE}"/>
            </c:ext>
          </c:extLst>
        </c:ser>
        <c:ser>
          <c:idx val="1"/>
          <c:order val="1"/>
          <c:tx>
            <c:v>2015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Montly_Pivot!$F$2:$F$13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Montly_Pivot!$C$1:$C$13</c:f>
              <c:numCache>
                <c:formatCode>General</c:formatCode>
                <c:ptCount val="13"/>
                <c:pt idx="0">
                  <c:v>2015</c:v>
                </c:pt>
                <c:pt idx="1">
                  <c:v>18174.080000000002</c:v>
                </c:pt>
                <c:pt idx="2">
                  <c:v>11951.4</c:v>
                </c:pt>
                <c:pt idx="3">
                  <c:v>38726.26</c:v>
                </c:pt>
                <c:pt idx="4">
                  <c:v>34195.25</c:v>
                </c:pt>
                <c:pt idx="5">
                  <c:v>30131.72</c:v>
                </c:pt>
                <c:pt idx="6">
                  <c:v>24797.31</c:v>
                </c:pt>
                <c:pt idx="7">
                  <c:v>28765.32</c:v>
                </c:pt>
                <c:pt idx="8">
                  <c:v>36898.32</c:v>
                </c:pt>
                <c:pt idx="9">
                  <c:v>64595.87</c:v>
                </c:pt>
                <c:pt idx="10">
                  <c:v>31404.9</c:v>
                </c:pt>
                <c:pt idx="11">
                  <c:v>75972.509999999995</c:v>
                </c:pt>
                <c:pt idx="12">
                  <c:v>74919.520000000004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45-451D-9A4D-A7C49FC6BACE}"/>
            </c:ext>
          </c:extLst>
        </c:ser>
        <c:ser>
          <c:idx val="2"/>
          <c:order val="2"/>
          <c:tx>
            <c:v>2016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Montly_Pivot!$F$2:$F$13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Montly_Pivot!$D$1:$D$13</c:f>
              <c:numCache>
                <c:formatCode>General</c:formatCode>
                <c:ptCount val="13"/>
                <c:pt idx="0">
                  <c:v>2016</c:v>
                </c:pt>
                <c:pt idx="1">
                  <c:v>18542.52</c:v>
                </c:pt>
                <c:pt idx="2">
                  <c:v>22978.82</c:v>
                </c:pt>
                <c:pt idx="3">
                  <c:v>51715.86</c:v>
                </c:pt>
                <c:pt idx="4">
                  <c:v>38750.04</c:v>
                </c:pt>
                <c:pt idx="5">
                  <c:v>56987.75</c:v>
                </c:pt>
                <c:pt idx="6">
                  <c:v>40344.54</c:v>
                </c:pt>
                <c:pt idx="7">
                  <c:v>39261.99</c:v>
                </c:pt>
                <c:pt idx="8">
                  <c:v>31115.35</c:v>
                </c:pt>
                <c:pt idx="9">
                  <c:v>73410.09</c:v>
                </c:pt>
                <c:pt idx="10">
                  <c:v>59687.8</c:v>
                </c:pt>
                <c:pt idx="11">
                  <c:v>79412.03</c:v>
                </c:pt>
                <c:pt idx="12">
                  <c:v>96999.07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45-451D-9A4D-A7C49FC6BACE}"/>
            </c:ext>
          </c:extLst>
        </c:ser>
        <c:ser>
          <c:idx val="3"/>
          <c:order val="3"/>
          <c:tx>
            <c:v>2017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cat>
            <c:strRef>
              <c:f>Montly_Pivot!$F$2:$F$13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Montly_Pivot!$E$1:$E$13</c:f>
              <c:numCache>
                <c:formatCode>General</c:formatCode>
                <c:ptCount val="13"/>
                <c:pt idx="0">
                  <c:v>2017</c:v>
                </c:pt>
                <c:pt idx="1">
                  <c:v>43971.37</c:v>
                </c:pt>
                <c:pt idx="2">
                  <c:v>20301.12</c:v>
                </c:pt>
                <c:pt idx="3">
                  <c:v>58872.35</c:v>
                </c:pt>
                <c:pt idx="4">
                  <c:v>36521.519999999997</c:v>
                </c:pt>
                <c:pt idx="5">
                  <c:v>44261.08</c:v>
                </c:pt>
                <c:pt idx="6">
                  <c:v>52981.73</c:v>
                </c:pt>
                <c:pt idx="7">
                  <c:v>45264.43</c:v>
                </c:pt>
                <c:pt idx="8">
                  <c:v>63120.85</c:v>
                </c:pt>
                <c:pt idx="9">
                  <c:v>87866.66</c:v>
                </c:pt>
                <c:pt idx="10">
                  <c:v>77776.960000000006</c:v>
                </c:pt>
                <c:pt idx="11">
                  <c:v>118447.81</c:v>
                </c:pt>
                <c:pt idx="12">
                  <c:v>83829.31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45-451D-9A4D-A7C49FC6B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462207"/>
        <c:axId val="1622460719"/>
      </c:lineChart>
      <c:catAx>
        <c:axId val="162246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60719"/>
        <c:crosses val="autoZero"/>
        <c:auto val="1"/>
        <c:lblAlgn val="ctr"/>
        <c:lblOffset val="100"/>
        <c:noMultiLvlLbl val="0"/>
      </c:catAx>
      <c:valAx>
        <c:axId val="1622460719"/>
        <c:scaling>
          <c:orientation val="minMax"/>
        </c:scaling>
        <c:delete val="0"/>
        <c:axPos val="l"/>
        <c:numFmt formatCode="\$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6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395556205142528"/>
          <c:y val="0.85590232210557027"/>
          <c:w val="0.5631999125109361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Year-Over-Year Sales Growth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233636757128E-2"/>
          <c:y val="0.1638729152458305"/>
          <c:w val="0.90297462817147855"/>
          <c:h val="0.671457786526684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YOY_Growth!$B$9</c:f>
              <c:strCache>
                <c:ptCount val="1"/>
                <c:pt idx="0">
                  <c:v>sales_growth_pct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F0-46A9-99B7-E345CAA010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F0-46A9-99B7-E345CAA01068}"/>
              </c:ext>
            </c:extLst>
          </c:dPt>
          <c:dLbls>
            <c:dLbl>
              <c:idx val="0"/>
              <c:layout>
                <c:manualLayout>
                  <c:x val="0"/>
                  <c:y val="-3.9682539682539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F0-46A9-99B7-E345CAA01068}"/>
                </c:ext>
              </c:extLst>
            </c:dLbl>
            <c:numFmt formatCode="0.0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YOY_Growth!$A$10:$A$12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YOY_Growth!$B$10:$B$12</c:f>
              <c:numCache>
                <c:formatCode>General</c:formatCode>
                <c:ptCount val="3"/>
                <c:pt idx="0">
                  <c:v>-2.83</c:v>
                </c:pt>
                <c:pt idx="1">
                  <c:v>29.47</c:v>
                </c:pt>
                <c:pt idx="2">
                  <c:v>20.36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F0-46A9-99B7-E345CAA01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90352"/>
        <c:axId val="25092832"/>
      </c:barChart>
      <c:catAx>
        <c:axId val="2509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2832"/>
        <c:crosses val="autoZero"/>
        <c:auto val="1"/>
        <c:lblAlgn val="ctr"/>
        <c:lblOffset val="100"/>
        <c:noMultiLvlLbl val="0"/>
      </c:catAx>
      <c:valAx>
        <c:axId val="2509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03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509221643354751"/>
          <c:y val="0.19458486951600107"/>
          <c:w val="0.46545037349262369"/>
          <c:h val="0.72016837155731817"/>
        </c:manualLayout>
      </c:layout>
      <c:doughnutChart>
        <c:varyColors val="1"/>
        <c:ser>
          <c:idx val="0"/>
          <c:order val="0"/>
          <c:tx>
            <c:strRef>
              <c:f>Category!$K$1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4C-4841-A2E4-CB3204ABFC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4C-4841-A2E4-CB3204ABFC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4C-4841-A2E4-CB3204ABFC58}"/>
              </c:ext>
            </c:extLst>
          </c:dPt>
          <c:dLbls>
            <c:dLbl>
              <c:idx val="0"/>
              <c:layout>
                <c:manualLayout>
                  <c:x val="0.11388888888888889"/>
                  <c:y val="-1.38888888888889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4C-4841-A2E4-CB3204ABFC58}"/>
                </c:ext>
              </c:extLst>
            </c:dLbl>
            <c:dLbl>
              <c:idx val="1"/>
              <c:layout>
                <c:manualLayout>
                  <c:x val="-0.13333333333333336"/>
                  <c:y val="-8.4875562720133283E-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4C-4841-A2E4-CB3204ABFC58}"/>
                </c:ext>
              </c:extLst>
            </c:dLbl>
            <c:dLbl>
              <c:idx val="2"/>
              <c:layout>
                <c:manualLayout>
                  <c:x val="1.9444444444444393E-2"/>
                  <c:y val="-0.1157407407407407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4C-4841-A2E4-CB3204ABFC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Category!$J$2:$J$4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Category!$K$2:$K$4</c:f>
              <c:numCache>
                <c:formatCode>General</c:formatCode>
                <c:ptCount val="3"/>
                <c:pt idx="0">
                  <c:v>145455.66</c:v>
                </c:pt>
                <c:pt idx="1">
                  <c:v>122490.87999999999</c:v>
                </c:pt>
                <c:pt idx="2">
                  <c:v>18451.250000000004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4C-4841-A2E4-CB3204ABF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Margin % </a:t>
            </a:r>
            <a:r>
              <a:rPr lang="en-US"/>
              <a:t>by SubCategory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49999999999997E-2"/>
          <c:y val="0.15319444444444447"/>
          <c:w val="0.85888188976377955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Category!$K$7</c:f>
              <c:strCache>
                <c:ptCount val="1"/>
                <c:pt idx="0">
                  <c:v>profit_sales_margin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4A-4EC8-A4AB-78E69767D253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44A-4EC8-A4AB-78E69767D253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44A-4EC8-A4AB-78E69767D253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44A-4EC8-A4AB-78E69767D253}"/>
              </c:ext>
            </c:extLst>
          </c:dPt>
          <c:cat>
            <c:strRef>
              <c:f>Category!$J$8:$J$24</c:f>
              <c:strCache>
                <c:ptCount val="17"/>
                <c:pt idx="0">
                  <c:v>Labels</c:v>
                </c:pt>
                <c:pt idx="1">
                  <c:v>Paper</c:v>
                </c:pt>
                <c:pt idx="2">
                  <c:v>Envelopes</c:v>
                </c:pt>
                <c:pt idx="3">
                  <c:v>Copiers</c:v>
                </c:pt>
                <c:pt idx="4">
                  <c:v>Fasteners</c:v>
                </c:pt>
                <c:pt idx="5">
                  <c:v>Accessories</c:v>
                </c:pt>
                <c:pt idx="6">
                  <c:v>Art</c:v>
                </c:pt>
                <c:pt idx="7">
                  <c:v>Appliances</c:v>
                </c:pt>
                <c:pt idx="8">
                  <c:v>Binders</c:v>
                </c:pt>
                <c:pt idx="9">
                  <c:v>Furnishings</c:v>
                </c:pt>
                <c:pt idx="10">
                  <c:v>Phones</c:v>
                </c:pt>
                <c:pt idx="11">
                  <c:v>Storage</c:v>
                </c:pt>
                <c:pt idx="12">
                  <c:v>Chairs</c:v>
                </c:pt>
                <c:pt idx="13">
                  <c:v>Machines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Category!$K$8:$K$24</c:f>
              <c:numCache>
                <c:formatCode>General</c:formatCode>
                <c:ptCount val="17"/>
                <c:pt idx="0">
                  <c:v>44.42</c:v>
                </c:pt>
                <c:pt idx="1">
                  <c:v>43.39</c:v>
                </c:pt>
                <c:pt idx="2">
                  <c:v>42.27</c:v>
                </c:pt>
                <c:pt idx="3">
                  <c:v>37.200000000000003</c:v>
                </c:pt>
                <c:pt idx="4">
                  <c:v>31.4</c:v>
                </c:pt>
                <c:pt idx="5">
                  <c:v>25.05</c:v>
                </c:pt>
                <c:pt idx="6">
                  <c:v>24.07</c:v>
                </c:pt>
                <c:pt idx="7">
                  <c:v>16.87</c:v>
                </c:pt>
                <c:pt idx="8">
                  <c:v>14.86</c:v>
                </c:pt>
                <c:pt idx="9">
                  <c:v>14.24</c:v>
                </c:pt>
                <c:pt idx="10">
                  <c:v>13.49</c:v>
                </c:pt>
                <c:pt idx="11">
                  <c:v>9.51</c:v>
                </c:pt>
                <c:pt idx="12">
                  <c:v>8.1</c:v>
                </c:pt>
                <c:pt idx="13">
                  <c:v>1.79</c:v>
                </c:pt>
                <c:pt idx="14">
                  <c:v>-2.5499999999999998</c:v>
                </c:pt>
                <c:pt idx="15">
                  <c:v>-3.02</c:v>
                </c:pt>
                <c:pt idx="16">
                  <c:v>-8.56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4A-4EC8-A4AB-78E69767D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375376"/>
        <c:axId val="182377360"/>
      </c:barChart>
      <c:catAx>
        <c:axId val="18237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7360"/>
        <c:crosses val="autoZero"/>
        <c:auto val="1"/>
        <c:lblAlgn val="ctr"/>
        <c:lblOffset val="0"/>
        <c:noMultiLvlLbl val="0"/>
      </c:catAx>
      <c:valAx>
        <c:axId val="182377360"/>
        <c:scaling>
          <c:orientation val="minMax"/>
        </c:scaling>
        <c:delete val="0"/>
        <c:axPos val="b"/>
        <c:numFmt formatCode="0.0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53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and Profit Margin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868635252899726"/>
          <c:y val="0.17497472411185269"/>
          <c:w val="0.76754593175853014"/>
          <c:h val="0.744338565959509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Regional!$B$7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46-4E1C-9A09-FCE3A630E439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46-4E1C-9A09-FCE3A630E439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946-4E1C-9A09-FCE3A630E439}"/>
              </c:ext>
            </c:extLst>
          </c:dPt>
          <c:dPt>
            <c:idx val="3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946-4E1C-9A09-FCE3A630E439}"/>
              </c:ext>
            </c:extLst>
          </c:dPt>
          <c:cat>
            <c:strRef>
              <c:f>Regional!$A$8:$A$11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Regional!$B$8:$B$11</c:f>
              <c:numCache>
                <c:formatCode>General</c:formatCode>
                <c:ptCount val="4"/>
                <c:pt idx="0">
                  <c:v>725457.93</c:v>
                </c:pt>
                <c:pt idx="1">
                  <c:v>678781.36</c:v>
                </c:pt>
                <c:pt idx="2">
                  <c:v>501239.88</c:v>
                </c:pt>
                <c:pt idx="3">
                  <c:v>391721.9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46-4E1C-9A09-FCE3A630E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038160"/>
        <c:axId val="184039648"/>
      </c:barChart>
      <c:lineChart>
        <c:grouping val="standard"/>
        <c:varyColors val="0"/>
        <c:ser>
          <c:idx val="1"/>
          <c:order val="1"/>
          <c:tx>
            <c:v>Profit Margin %</c:v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Regional!$C$8:$C$11</c:f>
              <c:numCache>
                <c:formatCode>General</c:formatCode>
                <c:ptCount val="4"/>
                <c:pt idx="0">
                  <c:v>14.94</c:v>
                </c:pt>
                <c:pt idx="1">
                  <c:v>13.48</c:v>
                </c:pt>
                <c:pt idx="2">
                  <c:v>7.92</c:v>
                </c:pt>
                <c:pt idx="3">
                  <c:v>11.93</c:v>
                </c:pt>
              </c:numCache>
            </c:numRef>
          </c:cat>
          <c:val>
            <c:numRef>
              <c:f>Regional!$C$8:$C$11</c:f>
              <c:numCache>
                <c:formatCode>General</c:formatCode>
                <c:ptCount val="4"/>
                <c:pt idx="0">
                  <c:v>14.94</c:v>
                </c:pt>
                <c:pt idx="1">
                  <c:v>13.48</c:v>
                </c:pt>
                <c:pt idx="2">
                  <c:v>7.92</c:v>
                </c:pt>
                <c:pt idx="3">
                  <c:v>11.93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946-4E1C-9A09-FCE3A630E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597119"/>
        <c:axId val="197596127"/>
      </c:lineChart>
      <c:catAx>
        <c:axId val="18403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39648"/>
        <c:crosses val="autoZero"/>
        <c:auto val="1"/>
        <c:lblAlgn val="ctr"/>
        <c:lblOffset val="100"/>
        <c:noMultiLvlLbl val="0"/>
      </c:catAx>
      <c:valAx>
        <c:axId val="184039648"/>
        <c:scaling>
          <c:orientation val="minMax"/>
        </c:scaling>
        <c:delete val="0"/>
        <c:axPos val="b"/>
        <c:numFmt formatCode="\$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38160"/>
        <c:crosses val="autoZero"/>
        <c:crossBetween val="between"/>
      </c:valAx>
      <c:valAx>
        <c:axId val="197596127"/>
        <c:scaling>
          <c:orientation val="minMax"/>
        </c:scaling>
        <c:delete val="0"/>
        <c:axPos val="r"/>
        <c:numFmt formatCode="0.00&quot;%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97119"/>
        <c:crosses val="max"/>
        <c:crossBetween val="between"/>
      </c:valAx>
      <c:catAx>
        <c:axId val="1975971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75961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93533464566929"/>
          <c:y val="0.10822222222222223"/>
          <c:w val="0.75900082020997373"/>
          <c:h val="0.808862642169728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Top_Products!$I$1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2E-43F0-A772-3634339B6C6A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2E-43F0-A772-3634339B6C6A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2E-43F0-A772-3634339B6C6A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2E-43F0-A772-3634339B6C6A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Top_Products!$H$2:$H$11</c15:sqref>
                  </c15:fullRef>
                </c:ext>
              </c:extLst>
              <c:f>(Top_Products!$H$2:$H$4,Top_Products!$H$6:$H$11)</c:f>
              <c:strCache>
                <c:ptCount val="9"/>
                <c:pt idx="0">
                  <c:v>Canon Copier</c:v>
                </c:pt>
                <c:pt idx="1">
                  <c:v>Fellowes PB500 </c:v>
                </c:pt>
                <c:pt idx="2">
                  <c:v>Cisco TelePresence </c:v>
                </c:pt>
                <c:pt idx="3">
                  <c:v>GBC DocuBind TL300 </c:v>
                </c:pt>
                <c:pt idx="4">
                  <c:v>GBC Ibimaster 500 </c:v>
                </c:pt>
                <c:pt idx="5">
                  <c:v>Hewlett LaserJet 3310 </c:v>
                </c:pt>
                <c:pt idx="6">
                  <c:v>HP Designjet T520</c:v>
                </c:pt>
                <c:pt idx="7">
                  <c:v>GBC DocuBind P400 </c:v>
                </c:pt>
                <c:pt idx="8">
                  <c:v>Electric Letter Opener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Top_Products!$I$2:$I$11</c15:sqref>
                  </c15:fullRef>
                </c:ext>
              </c:extLst>
              <c:f>(Top_Products!$I$2:$I$4,Top_Products!$I$6:$I$11)</c:f>
              <c:numCache>
                <c:formatCode>General</c:formatCode>
                <c:ptCount val="9"/>
                <c:pt idx="0">
                  <c:v>25199.94</c:v>
                </c:pt>
                <c:pt idx="1">
                  <c:v>7753.06</c:v>
                </c:pt>
                <c:pt idx="2">
                  <c:v>-1811.08</c:v>
                </c:pt>
                <c:pt idx="3">
                  <c:v>2233.5</c:v>
                </c:pt>
                <c:pt idx="4">
                  <c:v>760.98</c:v>
                </c:pt>
                <c:pt idx="5">
                  <c:v>6983.89</c:v>
                </c:pt>
                <c:pt idx="6">
                  <c:v>4094.98</c:v>
                </c:pt>
                <c:pt idx="7">
                  <c:v>-1878.17</c:v>
                </c:pt>
                <c:pt idx="8">
                  <c:v>-262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2E-43F0-A772-3634339B6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344816"/>
        <c:axId val="189345312"/>
      </c:barChart>
      <c:catAx>
        <c:axId val="189344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45312"/>
        <c:crosses val="autoZero"/>
        <c:auto val="1"/>
        <c:lblAlgn val="ctr"/>
        <c:lblOffset val="100"/>
        <c:noMultiLvlLbl val="0"/>
      </c:catAx>
      <c:valAx>
        <c:axId val="189345312"/>
        <c:scaling>
          <c:orientation val="minMax"/>
        </c:scaling>
        <c:delete val="0"/>
        <c:axPos val="b"/>
        <c:numFmt formatCode="\$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4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Sales by Customer Segment</a:t>
            </a:r>
          </a:p>
        </c:rich>
      </c:tx>
      <c:layout>
        <c:manualLayout>
          <c:xMode val="edge"/>
          <c:yMode val="edge"/>
          <c:x val="0.35136817162955875"/>
          <c:y val="1.63851770657063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Segments!$B$1</c:f>
              <c:strCache>
                <c:ptCount val="1"/>
                <c:pt idx="0">
                  <c:v>total_sales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42-47FC-B7BE-60288E4435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42-47FC-B7BE-60288E4435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42-47FC-B7BE-60288E4435CF}"/>
              </c:ext>
            </c:extLst>
          </c:dPt>
          <c:dLbls>
            <c:dLbl>
              <c:idx val="0"/>
              <c:layout>
                <c:manualLayout>
                  <c:x val="-4.7886045494313209E-3"/>
                  <c:y val="-2.301363371245260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42-47FC-B7BE-60288E4435CF}"/>
                </c:ext>
              </c:extLst>
            </c:dLbl>
            <c:dLbl>
              <c:idx val="1"/>
              <c:layout>
                <c:manualLayout>
                  <c:x val="-2.0420822397200351E-2"/>
                  <c:y val="-6.930300379119276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42-47FC-B7BE-60288E4435CF}"/>
                </c:ext>
              </c:extLst>
            </c:dLbl>
            <c:dLbl>
              <c:idx val="2"/>
              <c:layout>
                <c:manualLayout>
                  <c:x val="-3.4808945756780431E-2"/>
                  <c:y val="-2.892680081656459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42-47FC-B7BE-60288E4435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Segments!$A$2:$A$4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Segments!$B$2:$B$4</c:f>
              <c:numCache>
                <c:formatCode>General</c:formatCode>
                <c:ptCount val="3"/>
                <c:pt idx="0">
                  <c:v>1161401.3400000001</c:v>
                </c:pt>
                <c:pt idx="1">
                  <c:v>706146.44</c:v>
                </c:pt>
                <c:pt idx="2">
                  <c:v>429653.29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42-47FC-B7BE-60288E4435C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ysClr val="windowText" lastClr="000000">
              <a:lumMod val="75000"/>
              <a:lumOff val="25000"/>
            </a:sys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Year-Over-Year Sales Growth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69816272965873E-2"/>
          <c:y val="0.13434531621047369"/>
          <c:w val="0.90297462817147855"/>
          <c:h val="0.671457786526684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YOY_Growth!$B$9</c:f>
              <c:strCache>
                <c:ptCount val="1"/>
                <c:pt idx="0">
                  <c:v>sales_growth_pct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223-4810-A4CD-3FCA29E346B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23-4810-A4CD-3FCA29E346BD}"/>
              </c:ext>
            </c:extLst>
          </c:dPt>
          <c:dLbls>
            <c:dLbl>
              <c:idx val="0"/>
              <c:layout>
                <c:manualLayout>
                  <c:x val="0"/>
                  <c:y val="-3.9682539682539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23-4810-A4CD-3FCA29E346BD}"/>
                </c:ext>
              </c:extLst>
            </c:dLbl>
            <c:numFmt formatCode="0.0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YOY_Growth!$A$10:$A$12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YOY_Growth!$B$10:$B$12</c:f>
              <c:numCache>
                <c:formatCode>General</c:formatCode>
                <c:ptCount val="3"/>
                <c:pt idx="0">
                  <c:v>-2.83</c:v>
                </c:pt>
                <c:pt idx="1">
                  <c:v>29.47</c:v>
                </c:pt>
                <c:pt idx="2">
                  <c:v>20.36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23-4810-A4CD-3FCA29E34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90352"/>
        <c:axId val="25092832"/>
      </c:barChart>
      <c:catAx>
        <c:axId val="2509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2832"/>
        <c:crosses val="autoZero"/>
        <c:auto val="1"/>
        <c:lblAlgn val="ctr"/>
        <c:lblOffset val="100"/>
        <c:noMultiLvlLbl val="0"/>
      </c:catAx>
      <c:valAx>
        <c:axId val="2509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03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 (2014-2017)</a:t>
            </a:r>
            <a:endParaRPr lang="en-IN"/>
          </a:p>
        </c:rich>
      </c:tx>
      <c:layout>
        <c:manualLayout>
          <c:xMode val="edge"/>
          <c:yMode val="edge"/>
          <c:x val="0.25353455818022747"/>
          <c:y val="0.134259259259259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42432195975501"/>
          <c:y val="0.24115740740740746"/>
          <c:w val="0.86458573928258964"/>
          <c:h val="0.50082677165354328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28575" cap="rnd">
              <a:solidFill>
                <a:srgbClr val="808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808080"/>
              </a:solidFill>
              <a:ln w="9525">
                <a:solidFill>
                  <a:srgbClr val="808080"/>
                </a:solidFill>
              </a:ln>
              <a:effectLst/>
            </c:spPr>
          </c:marker>
          <c:cat>
            <c:strRef>
              <c:f>Montly_Pivot!$F$2:$F$13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Montly_Pivot!$B$1:$B$13</c:f>
              <c:numCache>
                <c:formatCode>General</c:formatCode>
                <c:ptCount val="13"/>
                <c:pt idx="0">
                  <c:v>2014</c:v>
                </c:pt>
                <c:pt idx="1">
                  <c:v>14236.9</c:v>
                </c:pt>
                <c:pt idx="2">
                  <c:v>4519.92</c:v>
                </c:pt>
                <c:pt idx="3">
                  <c:v>55691.040000000001</c:v>
                </c:pt>
                <c:pt idx="4">
                  <c:v>28295.35</c:v>
                </c:pt>
                <c:pt idx="5">
                  <c:v>23648.28</c:v>
                </c:pt>
                <c:pt idx="6">
                  <c:v>34595.14</c:v>
                </c:pt>
                <c:pt idx="7">
                  <c:v>33946.370000000003</c:v>
                </c:pt>
                <c:pt idx="8">
                  <c:v>27909.47</c:v>
                </c:pt>
                <c:pt idx="9">
                  <c:v>81777.34</c:v>
                </c:pt>
                <c:pt idx="10">
                  <c:v>31453.37</c:v>
                </c:pt>
                <c:pt idx="11">
                  <c:v>78628.740000000005</c:v>
                </c:pt>
                <c:pt idx="12">
                  <c:v>69545.64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08-457E-B01F-8DADE8BEC1E6}"/>
            </c:ext>
          </c:extLst>
        </c:ser>
        <c:ser>
          <c:idx val="1"/>
          <c:order val="1"/>
          <c:tx>
            <c:v>2015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Montly_Pivot!$F$2:$F$13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Montly_Pivot!$C$1:$C$13</c:f>
              <c:numCache>
                <c:formatCode>General</c:formatCode>
                <c:ptCount val="13"/>
                <c:pt idx="0">
                  <c:v>2015</c:v>
                </c:pt>
                <c:pt idx="1">
                  <c:v>18174.080000000002</c:v>
                </c:pt>
                <c:pt idx="2">
                  <c:v>11951.4</c:v>
                </c:pt>
                <c:pt idx="3">
                  <c:v>38726.26</c:v>
                </c:pt>
                <c:pt idx="4">
                  <c:v>34195.25</c:v>
                </c:pt>
                <c:pt idx="5">
                  <c:v>30131.72</c:v>
                </c:pt>
                <c:pt idx="6">
                  <c:v>24797.31</c:v>
                </c:pt>
                <c:pt idx="7">
                  <c:v>28765.32</c:v>
                </c:pt>
                <c:pt idx="8">
                  <c:v>36898.32</c:v>
                </c:pt>
                <c:pt idx="9">
                  <c:v>64595.87</c:v>
                </c:pt>
                <c:pt idx="10">
                  <c:v>31404.9</c:v>
                </c:pt>
                <c:pt idx="11">
                  <c:v>75972.509999999995</c:v>
                </c:pt>
                <c:pt idx="12">
                  <c:v>74919.520000000004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08-457E-B01F-8DADE8BEC1E6}"/>
            </c:ext>
          </c:extLst>
        </c:ser>
        <c:ser>
          <c:idx val="2"/>
          <c:order val="2"/>
          <c:tx>
            <c:v>2016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Montly_Pivot!$F$2:$F$13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Montly_Pivot!$D$1:$D$13</c:f>
              <c:numCache>
                <c:formatCode>General</c:formatCode>
                <c:ptCount val="13"/>
                <c:pt idx="0">
                  <c:v>2016</c:v>
                </c:pt>
                <c:pt idx="1">
                  <c:v>18542.52</c:v>
                </c:pt>
                <c:pt idx="2">
                  <c:v>22978.82</c:v>
                </c:pt>
                <c:pt idx="3">
                  <c:v>51715.86</c:v>
                </c:pt>
                <c:pt idx="4">
                  <c:v>38750.04</c:v>
                </c:pt>
                <c:pt idx="5">
                  <c:v>56987.75</c:v>
                </c:pt>
                <c:pt idx="6">
                  <c:v>40344.54</c:v>
                </c:pt>
                <c:pt idx="7">
                  <c:v>39261.99</c:v>
                </c:pt>
                <c:pt idx="8">
                  <c:v>31115.35</c:v>
                </c:pt>
                <c:pt idx="9">
                  <c:v>73410.09</c:v>
                </c:pt>
                <c:pt idx="10">
                  <c:v>59687.8</c:v>
                </c:pt>
                <c:pt idx="11">
                  <c:v>79412.03</c:v>
                </c:pt>
                <c:pt idx="12">
                  <c:v>96999.07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08-457E-B01F-8DADE8BEC1E6}"/>
            </c:ext>
          </c:extLst>
        </c:ser>
        <c:ser>
          <c:idx val="3"/>
          <c:order val="3"/>
          <c:tx>
            <c:v>2017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cat>
            <c:strRef>
              <c:f>Montly_Pivot!$F$2:$F$13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Montly_Pivot!$E$1:$E$13</c:f>
              <c:numCache>
                <c:formatCode>General</c:formatCode>
                <c:ptCount val="13"/>
                <c:pt idx="0">
                  <c:v>2017</c:v>
                </c:pt>
                <c:pt idx="1">
                  <c:v>43971.37</c:v>
                </c:pt>
                <c:pt idx="2">
                  <c:v>20301.12</c:v>
                </c:pt>
                <c:pt idx="3">
                  <c:v>58872.35</c:v>
                </c:pt>
                <c:pt idx="4">
                  <c:v>36521.519999999997</c:v>
                </c:pt>
                <c:pt idx="5">
                  <c:v>44261.08</c:v>
                </c:pt>
                <c:pt idx="6">
                  <c:v>52981.73</c:v>
                </c:pt>
                <c:pt idx="7">
                  <c:v>45264.43</c:v>
                </c:pt>
                <c:pt idx="8">
                  <c:v>63120.85</c:v>
                </c:pt>
                <c:pt idx="9">
                  <c:v>87866.66</c:v>
                </c:pt>
                <c:pt idx="10">
                  <c:v>77776.960000000006</c:v>
                </c:pt>
                <c:pt idx="11">
                  <c:v>118447.81</c:v>
                </c:pt>
                <c:pt idx="12">
                  <c:v>83829.31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08-457E-B01F-8DADE8BEC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462207"/>
        <c:axId val="1622460719"/>
      </c:lineChart>
      <c:catAx>
        <c:axId val="162246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60719"/>
        <c:crosses val="autoZero"/>
        <c:auto val="1"/>
        <c:lblAlgn val="ctr"/>
        <c:lblOffset val="100"/>
        <c:noMultiLvlLbl val="0"/>
      </c:catAx>
      <c:valAx>
        <c:axId val="1622460719"/>
        <c:scaling>
          <c:orientation val="minMax"/>
        </c:scaling>
        <c:delete val="0"/>
        <c:axPos val="l"/>
        <c:numFmt formatCode="\$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6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395559930008752"/>
          <c:y val="5.1504082822980461E-2"/>
          <c:w val="0.5631999125109361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80808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and Profit Margin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Regional!$B$7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D2-45D1-AB6B-C6B48524D08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4D2-45D1-AB6B-C6B48524D08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D2-45D1-AB6B-C6B48524D08E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4D2-45D1-AB6B-C6B48524D08E}"/>
              </c:ext>
            </c:extLst>
          </c:dPt>
          <c:cat>
            <c:strRef>
              <c:f>Regional!$A$8:$A$11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Regional!$B$8:$B$11</c:f>
              <c:numCache>
                <c:formatCode>General</c:formatCode>
                <c:ptCount val="4"/>
                <c:pt idx="0">
                  <c:v>725457.93</c:v>
                </c:pt>
                <c:pt idx="1">
                  <c:v>678781.36</c:v>
                </c:pt>
                <c:pt idx="2">
                  <c:v>501239.88</c:v>
                </c:pt>
                <c:pt idx="3">
                  <c:v>391721.9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2-45D1-AB6B-C6B48524D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038160"/>
        <c:axId val="184039648"/>
      </c:barChart>
      <c:lineChart>
        <c:grouping val="standard"/>
        <c:varyColors val="0"/>
        <c:ser>
          <c:idx val="1"/>
          <c:order val="1"/>
          <c:tx>
            <c:v>Profit Margin %</c:v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Regional!$C$8:$C$11</c:f>
              <c:numCache>
                <c:formatCode>General</c:formatCode>
                <c:ptCount val="4"/>
                <c:pt idx="0">
                  <c:v>14.94</c:v>
                </c:pt>
                <c:pt idx="1">
                  <c:v>13.48</c:v>
                </c:pt>
                <c:pt idx="2">
                  <c:v>7.92</c:v>
                </c:pt>
                <c:pt idx="3">
                  <c:v>11.93</c:v>
                </c:pt>
              </c:numCache>
            </c:numRef>
          </c:cat>
          <c:val>
            <c:numRef>
              <c:f>Regional!$C$8:$C$11</c:f>
              <c:numCache>
                <c:formatCode>General</c:formatCode>
                <c:ptCount val="4"/>
                <c:pt idx="0">
                  <c:v>14.94</c:v>
                </c:pt>
                <c:pt idx="1">
                  <c:v>13.48</c:v>
                </c:pt>
                <c:pt idx="2">
                  <c:v>7.92</c:v>
                </c:pt>
                <c:pt idx="3">
                  <c:v>11.93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D2-45D1-AB6B-C6B48524D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597119"/>
        <c:axId val="197596127"/>
      </c:lineChart>
      <c:catAx>
        <c:axId val="18403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39648"/>
        <c:crosses val="autoZero"/>
        <c:auto val="1"/>
        <c:lblAlgn val="ctr"/>
        <c:lblOffset val="100"/>
        <c:noMultiLvlLbl val="0"/>
      </c:catAx>
      <c:valAx>
        <c:axId val="184039648"/>
        <c:scaling>
          <c:orientation val="minMax"/>
        </c:scaling>
        <c:delete val="0"/>
        <c:axPos val="b"/>
        <c:numFmt formatCode="\$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38160"/>
        <c:crosses val="autoZero"/>
        <c:crossBetween val="between"/>
      </c:valAx>
      <c:valAx>
        <c:axId val="197596127"/>
        <c:scaling>
          <c:orientation val="minMax"/>
        </c:scaling>
        <c:delete val="0"/>
        <c:axPos val="r"/>
        <c:numFmt formatCode="0.00&quot;%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97119"/>
        <c:crosses val="max"/>
        <c:crossBetween val="between"/>
      </c:valAx>
      <c:catAx>
        <c:axId val="1975971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75961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976224846894139"/>
          <c:y val="0.26370078740157482"/>
          <c:w val="0.40047572178477692"/>
          <c:h val="0.66745953630796151"/>
        </c:manualLayout>
      </c:layout>
      <c:doughnutChart>
        <c:varyColors val="1"/>
        <c:ser>
          <c:idx val="0"/>
          <c:order val="0"/>
          <c:tx>
            <c:strRef>
              <c:f>Category!$K$1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E79-47D6-BA52-A55A8E998F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79-47D6-BA52-A55A8E998F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E79-47D6-BA52-A55A8E998F73}"/>
              </c:ext>
            </c:extLst>
          </c:dPt>
          <c:dLbls>
            <c:dLbl>
              <c:idx val="0"/>
              <c:layout>
                <c:manualLayout>
                  <c:x val="0.11388888888888889"/>
                  <c:y val="-1.38888888888889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E79-47D6-BA52-A55A8E998F73}"/>
                </c:ext>
              </c:extLst>
            </c:dLbl>
            <c:dLbl>
              <c:idx val="1"/>
              <c:layout>
                <c:manualLayout>
                  <c:x val="-0.13333333333333336"/>
                  <c:y val="-8.4875562720133283E-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79-47D6-BA52-A55A8E998F73}"/>
                </c:ext>
              </c:extLst>
            </c:dLbl>
            <c:dLbl>
              <c:idx val="2"/>
              <c:layout>
                <c:manualLayout>
                  <c:x val="1.9444444444444393E-2"/>
                  <c:y val="-0.1157407407407407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79-47D6-BA52-A55A8E998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Category!$J$2:$J$4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Category!$K$2:$K$4</c:f>
              <c:numCache>
                <c:formatCode>General</c:formatCode>
                <c:ptCount val="3"/>
                <c:pt idx="0">
                  <c:v>145455.66</c:v>
                </c:pt>
                <c:pt idx="1">
                  <c:v>122490.87999999999</c:v>
                </c:pt>
                <c:pt idx="2">
                  <c:v>18451.250000000004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9-47D6-BA52-A55A8E998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Margin % </a:t>
            </a:r>
            <a:r>
              <a:rPr lang="en-US"/>
              <a:t>by SubCategory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49999999999997E-2"/>
          <c:y val="0.15319444444444447"/>
          <c:w val="0.85888188976377955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Category!$K$7</c:f>
              <c:strCache>
                <c:ptCount val="1"/>
                <c:pt idx="0">
                  <c:v>profit_sales_margin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637D-4C90-A894-05509907F7B6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37D-4C90-A894-05509907F7B6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7D-4C90-A894-05509907F7B6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7D-4C90-A894-05509907F7B6}"/>
              </c:ext>
            </c:extLst>
          </c:dPt>
          <c:cat>
            <c:strRef>
              <c:f>Category!$J$8:$J$24</c:f>
              <c:strCache>
                <c:ptCount val="17"/>
                <c:pt idx="0">
                  <c:v>Labels</c:v>
                </c:pt>
                <c:pt idx="1">
                  <c:v>Paper</c:v>
                </c:pt>
                <c:pt idx="2">
                  <c:v>Envelopes</c:v>
                </c:pt>
                <c:pt idx="3">
                  <c:v>Copiers</c:v>
                </c:pt>
                <c:pt idx="4">
                  <c:v>Fasteners</c:v>
                </c:pt>
                <c:pt idx="5">
                  <c:v>Accessories</c:v>
                </c:pt>
                <c:pt idx="6">
                  <c:v>Art</c:v>
                </c:pt>
                <c:pt idx="7">
                  <c:v>Appliances</c:v>
                </c:pt>
                <c:pt idx="8">
                  <c:v>Binders</c:v>
                </c:pt>
                <c:pt idx="9">
                  <c:v>Furnishings</c:v>
                </c:pt>
                <c:pt idx="10">
                  <c:v>Phones</c:v>
                </c:pt>
                <c:pt idx="11">
                  <c:v>Storage</c:v>
                </c:pt>
                <c:pt idx="12">
                  <c:v>Chairs</c:v>
                </c:pt>
                <c:pt idx="13">
                  <c:v>Machines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Category!$K$8:$K$24</c:f>
              <c:numCache>
                <c:formatCode>General</c:formatCode>
                <c:ptCount val="17"/>
                <c:pt idx="0">
                  <c:v>44.42</c:v>
                </c:pt>
                <c:pt idx="1">
                  <c:v>43.39</c:v>
                </c:pt>
                <c:pt idx="2">
                  <c:v>42.27</c:v>
                </c:pt>
                <c:pt idx="3">
                  <c:v>37.200000000000003</c:v>
                </c:pt>
                <c:pt idx="4">
                  <c:v>31.4</c:v>
                </c:pt>
                <c:pt idx="5">
                  <c:v>25.05</c:v>
                </c:pt>
                <c:pt idx="6">
                  <c:v>24.07</c:v>
                </c:pt>
                <c:pt idx="7">
                  <c:v>16.87</c:v>
                </c:pt>
                <c:pt idx="8">
                  <c:v>14.86</c:v>
                </c:pt>
                <c:pt idx="9">
                  <c:v>14.24</c:v>
                </c:pt>
                <c:pt idx="10">
                  <c:v>13.49</c:v>
                </c:pt>
                <c:pt idx="11">
                  <c:v>9.51</c:v>
                </c:pt>
                <c:pt idx="12">
                  <c:v>8.1</c:v>
                </c:pt>
                <c:pt idx="13">
                  <c:v>1.79</c:v>
                </c:pt>
                <c:pt idx="14">
                  <c:v>-2.5499999999999998</c:v>
                </c:pt>
                <c:pt idx="15">
                  <c:v>-3.02</c:v>
                </c:pt>
                <c:pt idx="16">
                  <c:v>-8.56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D-4C90-A894-05509907F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375376"/>
        <c:axId val="182377360"/>
      </c:barChart>
      <c:catAx>
        <c:axId val="18237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7360"/>
        <c:crosses val="autoZero"/>
        <c:auto val="1"/>
        <c:lblAlgn val="ctr"/>
        <c:lblOffset val="0"/>
        <c:noMultiLvlLbl val="0"/>
      </c:catAx>
      <c:valAx>
        <c:axId val="182377360"/>
        <c:scaling>
          <c:orientation val="minMax"/>
        </c:scaling>
        <c:delete val="0"/>
        <c:axPos val="b"/>
        <c:numFmt formatCode="0.0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53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Top_Products!$I$1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63-4299-84AA-2D68D63848CA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63-4299-84AA-2D68D63848CA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63-4299-84AA-2D68D63848CA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763-4299-84AA-2D68D63848CA}"/>
              </c:ext>
            </c:extLst>
          </c:dPt>
          <c:cat>
            <c:strRef>
              <c:f>Top_Products!$H$2:$H$11</c:f>
              <c:strCache>
                <c:ptCount val="10"/>
                <c:pt idx="0">
                  <c:v>Canon Copier</c:v>
                </c:pt>
                <c:pt idx="1">
                  <c:v>Fellowes PB500 </c:v>
                </c:pt>
                <c:pt idx="2">
                  <c:v>Cisco TelePresence </c:v>
                </c:pt>
                <c:pt idx="3">
                  <c:v>HON 5400 Chairs </c:v>
                </c:pt>
                <c:pt idx="4">
                  <c:v>GBC DocuBind TL300 </c:v>
                </c:pt>
                <c:pt idx="5">
                  <c:v>GBC Ibimaster 500 </c:v>
                </c:pt>
                <c:pt idx="6">
                  <c:v>Hewlett LaserJet 3310 </c:v>
                </c:pt>
                <c:pt idx="7">
                  <c:v>HP Designjet T520</c:v>
                </c:pt>
                <c:pt idx="8">
                  <c:v>GBC DocuBind P400 </c:v>
                </c:pt>
                <c:pt idx="9">
                  <c:v>Electric Letter Opener</c:v>
                </c:pt>
              </c:strCache>
            </c:strRef>
          </c:cat>
          <c:val>
            <c:numRef>
              <c:f>Top_Products!$I$2:$I$11</c:f>
              <c:numCache>
                <c:formatCode>General</c:formatCode>
                <c:ptCount val="10"/>
                <c:pt idx="0">
                  <c:v>25199.94</c:v>
                </c:pt>
                <c:pt idx="1">
                  <c:v>7753.06</c:v>
                </c:pt>
                <c:pt idx="2">
                  <c:v>-1811.08</c:v>
                </c:pt>
                <c:pt idx="3">
                  <c:v>0</c:v>
                </c:pt>
                <c:pt idx="4">
                  <c:v>2233.5</c:v>
                </c:pt>
                <c:pt idx="5">
                  <c:v>760.98</c:v>
                </c:pt>
                <c:pt idx="6">
                  <c:v>6983.89</c:v>
                </c:pt>
                <c:pt idx="7">
                  <c:v>4094.98</c:v>
                </c:pt>
                <c:pt idx="8">
                  <c:v>-1878.17</c:v>
                </c:pt>
                <c:pt idx="9">
                  <c:v>-262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3-4299-84AA-2D68D6384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344816"/>
        <c:axId val="189345312"/>
      </c:barChart>
      <c:catAx>
        <c:axId val="189344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45312"/>
        <c:crosses val="autoZero"/>
        <c:auto val="1"/>
        <c:lblAlgn val="ctr"/>
        <c:lblOffset val="100"/>
        <c:noMultiLvlLbl val="0"/>
      </c:catAx>
      <c:valAx>
        <c:axId val="189345312"/>
        <c:scaling>
          <c:orientation val="minMax"/>
        </c:scaling>
        <c:delete val="0"/>
        <c:axPos val="b"/>
        <c:numFmt formatCode="\$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4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Segments!$B$1</c:f>
              <c:strCache>
                <c:ptCount val="1"/>
                <c:pt idx="0">
                  <c:v>total_sales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8A5-4684-B9E3-FCD9440275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A5-4684-B9E3-FCD9440275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A5-4684-B9E3-FCD94402755A}"/>
              </c:ext>
            </c:extLst>
          </c:dPt>
          <c:dLbls>
            <c:dLbl>
              <c:idx val="0"/>
              <c:layout>
                <c:manualLayout>
                  <c:x val="-4.7886045494313209E-3"/>
                  <c:y val="-2.301363371245260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A5-4684-B9E3-FCD94402755A}"/>
                </c:ext>
              </c:extLst>
            </c:dLbl>
            <c:dLbl>
              <c:idx val="1"/>
              <c:layout>
                <c:manualLayout>
                  <c:x val="-2.0420822397200351E-2"/>
                  <c:y val="-6.930300379119276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A5-4684-B9E3-FCD94402755A}"/>
                </c:ext>
              </c:extLst>
            </c:dLbl>
            <c:dLbl>
              <c:idx val="2"/>
              <c:layout>
                <c:manualLayout>
                  <c:x val="-3.4808945756780431E-2"/>
                  <c:y val="-2.892680081656459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A5-4684-B9E3-FCD9440275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Segments!$A$2:$A$4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Segments!$B$2:$B$4</c:f>
              <c:numCache>
                <c:formatCode>General</c:formatCode>
                <c:ptCount val="3"/>
                <c:pt idx="0">
                  <c:v>1161401.3400000001</c:v>
                </c:pt>
                <c:pt idx="1">
                  <c:v>706146.44</c:v>
                </c:pt>
                <c:pt idx="2">
                  <c:v>429653.29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5-4684-B9E3-FCD94402755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ysClr val="windowText" lastClr="000000">
              <a:lumMod val="75000"/>
              <a:lumOff val="25000"/>
            </a:sys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9</xdr:row>
      <xdr:rowOff>60960</xdr:rowOff>
    </xdr:from>
    <xdr:to>
      <xdr:col>7</xdr:col>
      <xdr:colOff>1005840</xdr:colOff>
      <xdr:row>30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6D57B4-EBE2-4C3E-9692-05232EA1E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205949</xdr:colOff>
      <xdr:row>8</xdr:row>
      <xdr:rowOff>51079</xdr:rowOff>
    </xdr:from>
    <xdr:to>
      <xdr:col>12</xdr:col>
      <xdr:colOff>868888</xdr:colOff>
      <xdr:row>32</xdr:row>
      <xdr:rowOff>137961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1F2F2D-C5D8-406C-A696-5A52004D6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58879</xdr:colOff>
      <xdr:row>34</xdr:row>
      <xdr:rowOff>137390</xdr:rowOff>
    </xdr:from>
    <xdr:to>
      <xdr:col>21</xdr:col>
      <xdr:colOff>596899</xdr:colOff>
      <xdr:row>57</xdr:row>
      <xdr:rowOff>21167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B8AA25-2F31-4513-BD49-82632475E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101878</xdr:colOff>
      <xdr:row>34</xdr:row>
      <xdr:rowOff>18980</xdr:rowOff>
    </xdr:from>
    <xdr:to>
      <xdr:col>12</xdr:col>
      <xdr:colOff>406443</xdr:colOff>
      <xdr:row>58</xdr:row>
      <xdr:rowOff>42361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E9E978-7BC7-489B-9A2F-4BF0ECA6F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33</xdr:row>
      <xdr:rowOff>154982</xdr:rowOff>
    </xdr:from>
    <xdr:to>
      <xdr:col>6</xdr:col>
      <xdr:colOff>539570</xdr:colOff>
      <xdr:row>57</xdr:row>
      <xdr:rowOff>127000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A7E0B0-929D-4117-9D4C-C99D0D13D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596900</xdr:colOff>
      <xdr:row>62</xdr:row>
      <xdr:rowOff>114300</xdr:rowOff>
    </xdr:from>
    <xdr:to>
      <xdr:col>6</xdr:col>
      <xdr:colOff>863600</xdr:colOff>
      <xdr:row>84</xdr:row>
      <xdr:rowOff>111760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53E9B61-EE6E-4E2A-A63E-4FB29C22D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356577</xdr:colOff>
      <xdr:row>62</xdr:row>
      <xdr:rowOff>105509</xdr:rowOff>
    </xdr:from>
    <xdr:to>
      <xdr:col>14</xdr:col>
      <xdr:colOff>64477</xdr:colOff>
      <xdr:row>84</xdr:row>
      <xdr:rowOff>97693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7ED14CB-3566-41D6-889F-3BB8EE1DC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14</xdr:col>
      <xdr:colOff>495300</xdr:colOff>
      <xdr:row>76</xdr:row>
      <xdr:rowOff>152400</xdr:rowOff>
    </xdr:from>
    <xdr:ext cx="2705100" cy="96898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E79B41F-1AEA-4EAD-84A4-54B59D879A48}"/>
            </a:ext>
          </a:extLst>
        </xdr:cNvPr>
        <xdr:cNvSpPr txBox="1"/>
      </xdr:nvSpPr>
      <xdr:spPr>
        <a:xfrm>
          <a:off x="14071600" y="14719300"/>
          <a:ext cx="2705100" cy="9689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>
              <a:solidFill>
                <a:schemeClr val="tx1">
                  <a:lumMod val="85000"/>
                  <a:lumOff val="15000"/>
                </a:schemeClr>
              </a:solidFill>
            </a:rPr>
            <a:t>Margin by Segment:</a:t>
          </a:r>
        </a:p>
        <a:p>
          <a:r>
            <a:rPr lang="en-IN" sz="1400">
              <a:solidFill>
                <a:schemeClr val="tx1">
                  <a:lumMod val="85000"/>
                  <a:lumOff val="15000"/>
                </a:schemeClr>
              </a:solidFill>
            </a:rPr>
            <a:t>Home Office: 14.03% ← highest</a:t>
          </a:r>
        </a:p>
        <a:p>
          <a:r>
            <a:rPr lang="en-IN" sz="1400">
              <a:solidFill>
                <a:schemeClr val="tx1">
                  <a:lumMod val="85000"/>
                  <a:lumOff val="15000"/>
                </a:schemeClr>
              </a:solidFill>
            </a:rPr>
            <a:t>Corporate:   13.03%</a:t>
          </a:r>
        </a:p>
        <a:p>
          <a:r>
            <a:rPr lang="en-IN" sz="1400">
              <a:solidFill>
                <a:schemeClr val="tx1">
                  <a:lumMod val="85000"/>
                  <a:lumOff val="15000"/>
                </a:schemeClr>
              </a:solidFill>
            </a:rPr>
            <a:t>Consumer:    11.55% ← lowest</a:t>
          </a:r>
        </a:p>
      </xdr:txBody>
    </xdr:sp>
    <xdr:clientData/>
  </xdr:oneCellAnchor>
  <xdr:twoCellAnchor>
    <xdr:from>
      <xdr:col>0</xdr:col>
      <xdr:colOff>595745</xdr:colOff>
      <xdr:row>87</xdr:row>
      <xdr:rowOff>332510</xdr:rowOff>
    </xdr:from>
    <xdr:to>
      <xdr:col>22</xdr:col>
      <xdr:colOff>13854</xdr:colOff>
      <xdr:row>89</xdr:row>
      <xdr:rowOff>55419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C3B693A-9764-23D7-15A9-B344B7AFB329}"/>
            </a:ext>
          </a:extLst>
        </xdr:cNvPr>
        <xdr:cNvSpPr txBox="1"/>
      </xdr:nvSpPr>
      <xdr:spPr>
        <a:xfrm>
          <a:off x="595745" y="16860983"/>
          <a:ext cx="17830800" cy="318654"/>
        </a:xfrm>
        <a:prstGeom prst="rect">
          <a:avLst/>
        </a:prstGeom>
        <a:solidFill>
          <a:srgbClr val="FFFF99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Key Insights: </a:t>
          </a:r>
          <a:r>
            <a:rPr lang="en-IN" sz="1400"/>
            <a:t>Tables sub-category lost $17,725 </a:t>
          </a:r>
          <a:r>
            <a:rPr lang="en-IN" sz="1400" b="1"/>
            <a:t>|</a:t>
          </a:r>
          <a:r>
            <a:rPr lang="en-IN" sz="1400"/>
            <a:t> Central region margin 7.92% vs West 14.94% </a:t>
          </a:r>
          <a:r>
            <a:rPr lang="en-IN" sz="1400" b="1"/>
            <a:t>|</a:t>
          </a:r>
          <a:r>
            <a:rPr lang="en-IN" sz="1400"/>
            <a:t> Technology drives 51% of total profit </a:t>
          </a:r>
          <a:r>
            <a:rPr lang="en-IN" sz="1400" b="1"/>
            <a:t>|</a:t>
          </a:r>
          <a:r>
            <a:rPr lang="en-IN" sz="1400"/>
            <a:t> Home Office most efficient segment at 14.03% margin </a:t>
          </a:r>
          <a:r>
            <a:rPr lang="en-IN" sz="1400" b="1"/>
            <a:t>|</a:t>
          </a:r>
          <a:r>
            <a:rPr lang="en-IN" sz="1400"/>
            <a:t>2016 was peak growth year at 29.47% YoY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617220</xdr:colOff>
      <xdr:row>7</xdr:row>
      <xdr:rowOff>26670</xdr:rowOff>
    </xdr:from>
    <xdr:to>
      <xdr:col>9</xdr:col>
      <xdr:colOff>327660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53E20B-603C-579D-3C82-5A69E06FE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167640</xdr:colOff>
      <xdr:row>2</xdr:row>
      <xdr:rowOff>41910</xdr:rowOff>
    </xdr:from>
    <xdr:to>
      <xdr:col>14</xdr:col>
      <xdr:colOff>472440</xdr:colOff>
      <xdr:row>17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6FFDF0-1C1D-B564-BA5D-97D730A44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739140</xdr:colOff>
      <xdr:row>7</xdr:row>
      <xdr:rowOff>114300</xdr:rowOff>
    </xdr:from>
    <xdr:to>
      <xdr:col>9</xdr:col>
      <xdr:colOff>91440</xdr:colOff>
      <xdr:row>23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FA030C-C162-820A-8924-A86D43F64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20</xdr:row>
      <xdr:rowOff>64770</xdr:rowOff>
    </xdr:from>
    <xdr:to>
      <xdr:col>4</xdr:col>
      <xdr:colOff>1325880</xdr:colOff>
      <xdr:row>35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8BA29A-A697-AE3C-6FFA-0D5BAC1FA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464820</xdr:colOff>
      <xdr:row>25</xdr:row>
      <xdr:rowOff>125730</xdr:rowOff>
    </xdr:from>
    <xdr:to>
      <xdr:col>10</xdr:col>
      <xdr:colOff>876300</xdr:colOff>
      <xdr:row>44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D39D01-0C8F-EE42-A673-DC1A6328D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13</xdr:row>
      <xdr:rowOff>144780</xdr:rowOff>
    </xdr:from>
    <xdr:to>
      <xdr:col>10</xdr:col>
      <xdr:colOff>541020</xdr:colOff>
      <xdr:row>30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71B989-5591-B5B4-D9CA-4BBD25D5D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800100</xdr:colOff>
      <xdr:row>6</xdr:row>
      <xdr:rowOff>41910</xdr:rowOff>
    </xdr:from>
    <xdr:to>
      <xdr:col>9</xdr:col>
      <xdr:colOff>266700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D9FCB-B943-1B4D-349E-CD3ED8034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411480</xdr:colOff>
      <xdr:row>17</xdr:row>
      <xdr:rowOff>99060</xdr:rowOff>
    </xdr:from>
    <xdr:ext cx="2202180" cy="65582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6945BF2-1FEE-672D-7717-F802A6A65AFA}"/>
            </a:ext>
          </a:extLst>
        </xdr:cNvPr>
        <xdr:cNvSpPr txBox="1"/>
      </xdr:nvSpPr>
      <xdr:spPr>
        <a:xfrm>
          <a:off x="7970520" y="3208020"/>
          <a:ext cx="2202180" cy="65582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900">
              <a:solidFill>
                <a:schemeClr val="tx1">
                  <a:lumMod val="85000"/>
                  <a:lumOff val="15000"/>
                </a:schemeClr>
              </a:solidFill>
            </a:rPr>
            <a:t>Margin by Segment:</a:t>
          </a:r>
        </a:p>
        <a:p>
          <a:r>
            <a:rPr lang="en-IN" sz="900">
              <a:solidFill>
                <a:schemeClr val="tx1">
                  <a:lumMod val="85000"/>
                  <a:lumOff val="15000"/>
                </a:schemeClr>
              </a:solidFill>
            </a:rPr>
            <a:t>Home Office: 14.03% ← highest</a:t>
          </a:r>
        </a:p>
        <a:p>
          <a:r>
            <a:rPr lang="en-IN" sz="900">
              <a:solidFill>
                <a:schemeClr val="tx1">
                  <a:lumMod val="85000"/>
                  <a:lumOff val="15000"/>
                </a:schemeClr>
              </a:solidFill>
            </a:rPr>
            <a:t>Corporate:   13.03%</a:t>
          </a:r>
        </a:p>
        <a:p>
          <a:r>
            <a:rPr lang="en-IN" sz="900">
              <a:solidFill>
                <a:schemeClr val="tx1">
                  <a:lumMod val="85000"/>
                  <a:lumOff val="15000"/>
                </a:schemeClr>
              </a:solidFill>
            </a:rPr>
            <a:t>Consumer:    11.55% ← lowest</a:t>
          </a:r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96720D-DCCA-4148-A0BC-77C2C0256E54}" autoFormatId="16" applyNumberFormats="0" applyBorderFormats="0" applyFontFormats="0" applyPatternFormats="0" applyAlignmentFormats="0" applyWidthHeightFormats="0">
  <queryTableRefresh nextId="7">
    <queryTableFields count="6">
      <queryTableField id="1" name="total_sales" tableColumnId="1"/>
      <queryTableField id="2" name="total_profit" tableColumnId="2"/>
      <queryTableField id="3" name="profit_sales_margin" tableColumnId="3"/>
      <queryTableField id="4" name="total_orders" tableColumnId="4"/>
      <queryTableField id="5" name="avg_order_value" tableColumnId="5"/>
      <queryTableField id="6" name="total_quantit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4DE29ED-3759-40C8-B600-E0A561BB2CD4}" autoFormatId="16" applyNumberFormats="0" applyBorderFormats="0" applyFontFormats="0" applyPatternFormats="0" applyAlignmentFormats="0" applyWidthHeightFormats="0">
  <queryTableRefresh nextId="7">
    <queryTableFields count="6">
      <queryTableField id="1" name="order_year" tableColumnId="1"/>
      <queryTableField id="2" name="total_sales" tableColumnId="2"/>
      <queryTableField id="3" name="total_profit" tableColumnId="3"/>
      <queryTableField id="4" name="profit_sales_margin_pr" tableColumnId="4"/>
      <queryTableField id="5" name="total_orders" tableColumnId="5"/>
      <queryTableField id="6" name="avg_order_valu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1F509C0-8DD6-4EA0-BB7C-FF6DA494CC9A}" autoFormatId="16" applyNumberFormats="0" applyBorderFormats="0" applyFontFormats="0" applyPatternFormats="0" applyAlignmentFormats="0" applyWidthHeightFormats="0">
  <queryTableRefresh nextId="6">
    <queryTableFields count="5">
      <queryTableField id="1" name="order_year" tableColumnId="1"/>
      <queryTableField id="2" name="total_sales" tableColumnId="2"/>
      <queryTableField id="3" name="total_profit" tableColumnId="3"/>
      <queryTableField id="4" name="sales_growth_pct" tableColumnId="4"/>
      <queryTableField id="5" name="profit_growth_pc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222C714-BFB0-4017-BB42-8575E9E5AD7B}" autoFormatId="16" applyNumberFormats="0" applyBorderFormats="0" applyFontFormats="0" applyPatternFormats="0" applyAlignmentFormats="0" applyWidthHeightFormats="0">
  <queryTableRefresh nextId="9">
    <queryTableFields count="8">
      <queryTableField id="1" name="order_year" tableColumnId="1"/>
      <queryTableField id="2" name="order_month" tableColumnId="2"/>
      <queryTableField id="3" name="month_name" tableColumnId="3"/>
      <queryTableField id="4" name="monthly_sales_total" tableColumnId="4"/>
      <queryTableField id="5" name="monthly_profit_total" tableColumnId="5"/>
      <queryTableField id="6" name="profit_sales_margin" tableColumnId="6"/>
      <queryTableField id="7" name="total_orders" tableColumnId="7"/>
      <queryTableField id="8" name="avg_order_value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C06F687-B73C-4E7E-B82C-5D0A12F2C32D}" autoFormatId="16" applyNumberFormats="0" applyBorderFormats="0" applyFontFormats="0" applyPatternFormats="0" applyAlignmentFormats="0" applyWidthHeightFormats="0">
  <queryTableRefresh nextId="7">
    <queryTableFields count="6">
      <queryTableField id="1" name="region" tableColumnId="1"/>
      <queryTableField id="2" name="total_sales" tableColumnId="2"/>
      <queryTableField id="3" name="total_profit" tableColumnId="3"/>
      <queryTableField id="4" name="profit_sales_margin" tableColumnId="4"/>
      <queryTableField id="5" name="total_orders" tableColumnId="5"/>
      <queryTableField id="6" name="avg_order_valu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D661E72-36F8-4535-9080-ED07A0FB94B3}" autoFormatId="16" applyNumberFormats="0" applyBorderFormats="0" applyFontFormats="0" applyPatternFormats="0" applyAlignmentFormats="0" applyWidthHeightFormats="0">
  <queryTableRefresh nextId="8">
    <queryTableFields count="7">
      <queryTableField id="1" name="category" tableColumnId="1"/>
      <queryTableField id="2" name="subcategory" tableColumnId="2"/>
      <queryTableField id="3" name="total_sales" tableColumnId="3"/>
      <queryTableField id="4" name="total_profit" tableColumnId="4"/>
      <queryTableField id="5" name="profit_sales_margin" tableColumnId="5"/>
      <queryTableField id="6" name="total_orders" tableColumnId="6"/>
      <queryTableField id="7" name="avg_order_value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CBB1AC5-636F-4E23-B828-B3A64EC38252}" autoFormatId="16" applyNumberFormats="0" applyBorderFormats="0" applyFontFormats="0" applyPatternFormats="0" applyAlignmentFormats="0" applyWidthHeightFormats="0">
  <queryTableRefresh nextId="7">
    <queryTableFields count="6">
      <queryTableField id="1" name="product_name" tableColumnId="1"/>
      <queryTableField id="2" name="category" tableColumnId="2"/>
      <queryTableField id="3" name="subcategory" tableColumnId="3"/>
      <queryTableField id="4" name="total_sales" tableColumnId="4"/>
      <queryTableField id="5" name="total_profit" tableColumnId="5"/>
      <queryTableField id="6" name="total_quantity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027D4EF-4074-43FC-B8DC-992DDDCDD6D4}" autoFormatId="16" applyNumberFormats="0" applyBorderFormats="0" applyFontFormats="0" applyPatternFormats="0" applyAlignmentFormats="0" applyWidthHeightFormats="0">
  <queryTableRefresh nextId="7">
    <queryTableFields count="6">
      <queryTableField id="1" name="product_name" tableColumnId="1"/>
      <queryTableField id="2" name="category" tableColumnId="2"/>
      <queryTableField id="3" name="subcategory" tableColumnId="3"/>
      <queryTableField id="4" name="total_sales" tableColumnId="4"/>
      <queryTableField id="5" name="total_profit" tableColumnId="5"/>
      <queryTableField id="6" name="total_quantity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257E731B-7E0E-47E0-BFB4-34C95A2E65F2}" autoFormatId="16" applyNumberFormats="0" applyBorderFormats="0" applyFontFormats="0" applyPatternFormats="0" applyAlignmentFormats="0" applyWidthHeightFormats="0">
  <queryTableRefresh nextId="7">
    <queryTableFields count="6">
      <queryTableField id="1" name="segment" tableColumnId="1"/>
      <queryTableField id="2" name="total_sales" tableColumnId="2"/>
      <queryTableField id="3" name="total_profit" tableColumnId="3"/>
      <queryTableField id="4" name="profit_margin_pct" tableColumnId="4"/>
      <queryTableField id="5" name="total_orders" tableColumnId="5"/>
      <queryTableField id="6" name="avg_order_value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8B29CFE7-1262-467B-AAEB-70A8298EE4B4}" autoFormatId="16" applyNumberFormats="0" applyBorderFormats="0" applyFontFormats="0" applyPatternFormats="0" applyAlignmentFormats="0" applyWidthHeightFormats="0">
  <queryTableRefresh nextId="7">
    <queryTableFields count="6">
      <queryTableField id="1" name="ship_mode" tableColumnId="1"/>
      <queryTableField id="2" name="total_sales" tableColumnId="2"/>
      <queryTableField id="3" name="total_profit" tableColumnId="3"/>
      <queryTableField id="4" name="profit_margin_pct" tableColumnId="4"/>
      <queryTableField id="5" name="total_order" tableColumnId="5"/>
      <queryTableField id="6" name="avg_order_value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CBA9AF1F-065C-4EF9-8B77-03EFBE76FE2C}" autoFormatId="16" applyNumberFormats="0" applyBorderFormats="0" applyFontFormats="0" applyPatternFormats="0" applyAlignmentFormats="0" applyWidthHeightFormats="0">
  <queryTableRefresh nextId="7">
    <queryTableFields count="6">
      <queryTableField id="1" name="state" tableColumnId="1"/>
      <queryTableField id="2" name="total_sales" tableColumnId="2"/>
      <queryTableField id="3" name="total_profit" tableColumnId="3"/>
      <queryTableField id="4" name="profit_margin_pct" tableColumnId="4"/>
      <queryTableField id="5" name="total_order" tableColumnId="5"/>
      <queryTableField id="6" name="avg_order_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D8B53-30D4-4102-AAF8-6B38CF0D9952}" name="_01_overall_kpis" displayName="_01_overall_kpis" ref="A1:F2" tableType="queryTable" totalsRowShown="0">
  <autoFilter ref="A1:F2" xr:uid="{4D7D8B53-30D4-4102-AAF8-6B38CF0D9952}"/>
  <tableColumns count="6">
    <tableColumn id="1" xr3:uid="{09CA2902-04A3-4069-AEC5-71AAB393129D}" uniqueName="1" name="total_sales" queryTableFieldId="1"/>
    <tableColumn id="2" xr3:uid="{0632C542-062C-4134-98AE-DF9246507ED7}" uniqueName="2" name="total_profit" queryTableFieldId="2"/>
    <tableColumn id="3" xr3:uid="{2C92CF20-0590-4FE9-9AF8-E843DBE63273}" uniqueName="3" name="profit_sales_margin" queryTableFieldId="3"/>
    <tableColumn id="4" xr3:uid="{6942E892-2656-4D9D-A6E5-92B3CE103B48}" uniqueName="4" name="total_orders" queryTableFieldId="4"/>
    <tableColumn id="5" xr3:uid="{3A5E83F7-E43A-44C6-A771-EBD3DBAEA8AA}" uniqueName="5" name="avg_order_value" queryTableFieldId="5"/>
    <tableColumn id="6" xr3:uid="{5425F651-81D3-4C2D-A8CA-5A54A9BE2988}" uniqueName="6" name="total_quantity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EE2536-03E4-4F6F-8439-2DA45375C36B}" name="_02_yearly_sales" displayName="_02_yearly_sales" ref="A1:F5" tableType="queryTable" totalsRowShown="0">
  <autoFilter ref="A1:F5" xr:uid="{D3EE2536-03E4-4F6F-8439-2DA45375C36B}"/>
  <tableColumns count="6">
    <tableColumn id="1" xr3:uid="{864D116C-53FE-43EF-889A-7DF126E8A6E1}" uniqueName="1" name="order_year" queryTableFieldId="1"/>
    <tableColumn id="2" xr3:uid="{38B2B310-D6EF-457A-BADA-FBEDFD85D6BF}" uniqueName="2" name="total_sales" queryTableFieldId="2"/>
    <tableColumn id="3" xr3:uid="{7474F881-49B6-47ED-A6A3-108F1B6EAAF9}" uniqueName="3" name="total_profit" queryTableFieldId="3"/>
    <tableColumn id="4" xr3:uid="{F0B4E0F4-21F9-4832-B357-E3D965D9C1B1}" uniqueName="4" name="profit_sales_margin_pr" queryTableFieldId="4"/>
    <tableColumn id="5" xr3:uid="{656F8742-14DE-4642-8046-4F5415CCAF4D}" uniqueName="5" name="total_orders" queryTableFieldId="5"/>
    <tableColumn id="6" xr3:uid="{96D4F87E-270F-4960-9487-F9683B2E8723}" uniqueName="6" name="avg_order_value" queryTableFieldId="6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3CCBED-AD7F-4E5F-8813-AB7736150035}" name="_03_yoy_growth_rate" displayName="_03_yoy_growth_rate" ref="A1:E5" tableType="queryTable" totalsRowShown="0">
  <autoFilter ref="A1:E5" xr:uid="{FF3CCBED-AD7F-4E5F-8813-AB7736150035}"/>
  <tableColumns count="5">
    <tableColumn id="1" xr3:uid="{4C4AB490-8809-4A85-9DFB-EAD742CE1112}" uniqueName="1" name="order_year" queryTableFieldId="1"/>
    <tableColumn id="2" xr3:uid="{39F3897E-9B1E-4117-8A4F-EB8AB67761D7}" uniqueName="2" name="total_sales" queryTableFieldId="2"/>
    <tableColumn id="3" xr3:uid="{A39B0F05-4315-449F-96D0-DB5ED1FCD934}" uniqueName="3" name="total_profit" queryTableFieldId="3"/>
    <tableColumn id="4" xr3:uid="{7C0F17B7-5FFC-4572-A5BA-6EEB3A1D6D3D}" uniqueName="4" name="sales_growth_pct" queryTableFieldId="4" dataDxfId="14"/>
    <tableColumn id="5" xr3:uid="{8E9EE415-741A-4254-8006-6BD6D7F2E397}" uniqueName="5" name="profit_growth_pct" queryTableFieldId="5" dataDxfId="1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5CD9F9-E4D8-4480-BBAA-9F9A5852523E}" name="_04_monthly_sales" displayName="_04_monthly_sales" ref="A1:H49" tableType="queryTable" totalsRowShown="0">
  <autoFilter ref="A1:H49" xr:uid="{2F5CD9F9-E4D8-4480-BBAA-9F9A5852523E}"/>
  <tableColumns count="8">
    <tableColumn id="1" xr3:uid="{3D6FBB21-4DD5-4ACF-90C6-B8752B07AA9D}" uniqueName="1" name="order_year" queryTableFieldId="1"/>
    <tableColumn id="2" xr3:uid="{DE6F0A34-BED7-46A8-B853-1810D8712A37}" uniqueName="2" name="order_month" queryTableFieldId="2"/>
    <tableColumn id="3" xr3:uid="{58A4C9CD-0CFD-4589-8E69-08FA406E4701}" uniqueName="3" name="month_name" queryTableFieldId="3" dataDxfId="12"/>
    <tableColumn id="4" xr3:uid="{55A70EA9-6E5E-47D9-99AC-5AB369DB378D}" uniqueName="4" name="monthly_sales_total" queryTableFieldId="4"/>
    <tableColumn id="5" xr3:uid="{80517094-F898-4148-9EA6-32BF0D33225C}" uniqueName="5" name="monthly_profit_total" queryTableFieldId="5"/>
    <tableColumn id="6" xr3:uid="{001B09C3-32AA-4692-BF61-4D6E388D7235}" uniqueName="6" name="profit_sales_margin" queryTableFieldId="6"/>
    <tableColumn id="7" xr3:uid="{247F95B2-6518-48DB-8A3B-EA3000411A18}" uniqueName="7" name="total_orders" queryTableFieldId="7"/>
    <tableColumn id="8" xr3:uid="{878CEF37-F5FA-4D81-B5AB-C8EA8A541556}" uniqueName="8" name="avg_order_value" queryTableFieldId="8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F75391-B964-4D3D-B154-814AE9D53F5D}" name="_05_regional_sales" displayName="_05_regional_sales" ref="A1:F5" tableType="queryTable" totalsRowShown="0">
  <autoFilter ref="A1:F5" xr:uid="{7FF75391-B964-4D3D-B154-814AE9D53F5D}"/>
  <tableColumns count="6">
    <tableColumn id="1" xr3:uid="{5AF4E3F2-C282-4340-B35C-BFAF7D25C71E}" uniqueName="1" name="region" queryTableFieldId="1" dataDxfId="11"/>
    <tableColumn id="2" xr3:uid="{7BDD1F20-C8CC-46EB-AA79-93ED68EC630C}" uniqueName="2" name="total_sales" queryTableFieldId="2"/>
    <tableColumn id="3" xr3:uid="{785DE667-715B-47DA-9618-07B1D519FF1A}" uniqueName="3" name="total_profit" queryTableFieldId="3"/>
    <tableColumn id="4" xr3:uid="{CCA6AB58-BDA5-4B3E-8F7F-14E3543F6340}" uniqueName="4" name="profit_sales_margin" queryTableFieldId="4"/>
    <tableColumn id="5" xr3:uid="{40AB9FD6-0C51-4336-9B45-689DD0323842}" uniqueName="5" name="total_orders" queryTableFieldId="5"/>
    <tableColumn id="6" xr3:uid="{75C90B73-379F-4033-BB39-885E6B2E2C08}" uniqueName="6" name="avg_order_value" queryTableFieldId="6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B182EE-61D7-4984-A417-65258D7DE7A1}" name="_06_category_sales" displayName="_06_category_sales" ref="A1:G18" tableType="queryTable" totalsRowShown="0">
  <autoFilter ref="A1:G18" xr:uid="{0BB182EE-61D7-4984-A417-65258D7DE7A1}"/>
  <sortState xmlns:xlrd2="http://schemas.microsoft.com/office/spreadsheetml/2017/richdata2" ref="A2:G18">
    <sortCondition descending="1" ref="E2:E18"/>
  </sortState>
  <tableColumns count="7">
    <tableColumn id="1" xr3:uid="{F92E9014-F1D1-4664-A4A6-DB29DEE8E264}" uniqueName="1" name="category" queryTableFieldId="1" dataDxfId="10"/>
    <tableColumn id="2" xr3:uid="{2FF8B7B9-FA92-4810-8769-CB816EBAE867}" uniqueName="2" name="subcategory" queryTableFieldId="2" dataDxfId="9"/>
    <tableColumn id="3" xr3:uid="{130B44F8-969A-443E-ABA6-D41B2E0C3D0E}" uniqueName="3" name="total_sales" queryTableFieldId="3"/>
    <tableColumn id="4" xr3:uid="{475589C9-50A9-473F-9EAB-EA5B647BC1CC}" uniqueName="4" name="total_profit" queryTableFieldId="4"/>
    <tableColumn id="5" xr3:uid="{C590D425-7656-4B9C-8888-F34DAEF92B23}" uniqueName="5" name="profit_sales_margin" queryTableFieldId="5"/>
    <tableColumn id="6" xr3:uid="{C841E7B8-199C-4D9C-A778-CDEB8042350C}" uniqueName="6" name="total_orders" queryTableFieldId="6"/>
    <tableColumn id="7" xr3:uid="{FA6B2871-C350-4144-AD85-31ECE06C34D1}" uniqueName="7" name="avg_order_value" queryTableFieldId="7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9D480E-5568-42B9-9FDB-86BF5BF5781F}" name="_07_top_product" displayName="_07_top_product" ref="A1:F11" tableType="queryTable" totalsRowShown="0">
  <autoFilter ref="A1:F11" xr:uid="{259D480E-5568-42B9-9FDB-86BF5BF5781F}"/>
  <tableColumns count="6">
    <tableColumn id="1" xr3:uid="{59AD84EF-6115-4BCC-9DB5-BAA2E55AD414}" uniqueName="1" name="product_name" queryTableFieldId="1" dataDxfId="8"/>
    <tableColumn id="2" xr3:uid="{FA46BDDA-1AC7-44AD-8C0E-1874EE5FD43E}" uniqueName="2" name="category" queryTableFieldId="2" dataDxfId="7"/>
    <tableColumn id="3" xr3:uid="{CEB37FFE-3899-4075-A080-AB6C1E841377}" uniqueName="3" name="subcategory" queryTableFieldId="3" dataDxfId="6"/>
    <tableColumn id="4" xr3:uid="{35D948D0-2B51-4480-BCA6-79034EAD6677}" uniqueName="4" name="total_sales" queryTableFieldId="4"/>
    <tableColumn id="5" xr3:uid="{9ECFA61B-DEEC-41CD-AD0E-358EDFD22857}" uniqueName="5" name="total_profit" queryTableFieldId="5"/>
    <tableColumn id="6" xr3:uid="{BE5E0BC1-4F22-4BED-966E-83D87CC55985}" uniqueName="6" name="total_quantity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581774-3981-47CF-B6A0-14825BA55013}" name="_08_bottom_product" displayName="_08_bottom_product" ref="A1:F11" tableType="queryTable" totalsRowShown="0">
  <autoFilter ref="A1:F11" xr:uid="{0F581774-3981-47CF-B6A0-14825BA55013}"/>
  <tableColumns count="6">
    <tableColumn id="1" xr3:uid="{66655C7F-5447-4D6F-A300-770D4F4E6EF4}" uniqueName="1" name="product_name" queryTableFieldId="1" dataDxfId="5"/>
    <tableColumn id="2" xr3:uid="{24F52E8B-BD43-4AD2-A15A-62047F4E1010}" uniqueName="2" name="category" queryTableFieldId="2" dataDxfId="4"/>
    <tableColumn id="3" xr3:uid="{F356DEE9-17B8-4027-8311-553EF03F8BCD}" uniqueName="3" name="subcategory" queryTableFieldId="3" dataDxfId="3"/>
    <tableColumn id="4" xr3:uid="{6F520139-4F4B-4E3B-8646-7DD852470DB9}" uniqueName="4" name="total_sales" queryTableFieldId="4"/>
    <tableColumn id="5" xr3:uid="{E57DBF48-339F-48B5-B28F-1DF53DF84689}" uniqueName="5" name="total_profit" queryTableFieldId="5"/>
    <tableColumn id="6" xr3:uid="{DFC92909-A1DF-430E-B96E-38FDAC6DE90A}" uniqueName="6" name="total_quantity" queryTableFieldId="6"/>
  </tableColumns>
  <tableStyleInfo name="TableStyleMedium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A7E9A92-2927-4F59-8963-DD2CCF5BFD7D}" name="_09_segment_sales" displayName="_09_segment_sales" ref="A1:F4" tableType="queryTable" totalsRowShown="0">
  <autoFilter ref="A1:F4" xr:uid="{1A7E9A92-2927-4F59-8963-DD2CCF5BFD7D}"/>
  <tableColumns count="6">
    <tableColumn id="1" xr3:uid="{D6057D40-B41D-49EE-A16F-7AF33E90229C}" uniqueName="1" name="segment" queryTableFieldId="1" dataDxfId="2"/>
    <tableColumn id="2" xr3:uid="{16A7D4D5-45D0-45CC-AAC0-72354FCA8C45}" uniqueName="2" name="total_sales" queryTableFieldId="2"/>
    <tableColumn id="3" xr3:uid="{78316122-AEDC-4BBA-AF96-81581F001405}" uniqueName="3" name="total_profit" queryTableFieldId="3"/>
    <tableColumn id="4" xr3:uid="{612AC78C-47C6-49D0-A40A-A3840EAA6ABA}" uniqueName="4" name="profit_margin_pct" queryTableFieldId="4"/>
    <tableColumn id="5" xr3:uid="{AEC1C9D5-5BF3-4F0C-A596-B0F6540489BC}" uniqueName="5" name="total_orders" queryTableFieldId="5"/>
    <tableColumn id="6" xr3:uid="{BC3C0070-238C-4489-921F-EA56C467CC86}" uniqueName="6" name="avg_order_value" queryTableFieldId="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632928F-A16F-4804-8D03-23F4E0134EB7}" name="_10_shipping_sales" displayName="_10_shipping_sales" ref="A1:F5" tableType="queryTable" totalsRowShown="0">
  <autoFilter ref="A1:F5" xr:uid="{2632928F-A16F-4804-8D03-23F4E0134EB7}"/>
  <tableColumns count="6">
    <tableColumn id="1" xr3:uid="{03945CF6-F042-447F-9CA3-03DF38BF6042}" uniqueName="1" name="ship_mode" queryTableFieldId="1" dataDxfId="1"/>
    <tableColumn id="2" xr3:uid="{70F06894-A6AD-41F8-B0B7-46BBC4E4105C}" uniqueName="2" name="total_sales" queryTableFieldId="2"/>
    <tableColumn id="3" xr3:uid="{C9D479C4-B113-47F6-BB2D-88AD28AFEABE}" uniqueName="3" name="total_profit" queryTableFieldId="3"/>
    <tableColumn id="4" xr3:uid="{56AC7518-14A0-4215-ABFE-13DA1CD9C0EE}" uniqueName="4" name="profit_margin_pct" queryTableFieldId="4"/>
    <tableColumn id="5" xr3:uid="{4FCA0AD6-30B8-4F96-95EE-F7A3EF026BFB}" uniqueName="5" name="total_order" queryTableFieldId="5"/>
    <tableColumn id="6" xr3:uid="{1104AFCB-CB2A-4034-A3BD-53644E159576}" uniqueName="6" name="avg_order_value" queryTableFieldId="6"/>
  </tableColumns>
  <tableStyleInfo name="TableStyleMedium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67CA2B5-7F2E-492E-BD2B-9C7F9DCF1C7A}" name="_11_state_sales" displayName="_11_state_sales" ref="A1:F50" tableType="queryTable" totalsRowShown="0">
  <autoFilter ref="A1:F50" xr:uid="{B67CA2B5-7F2E-492E-BD2B-9C7F9DCF1C7A}"/>
  <tableColumns count="6">
    <tableColumn id="1" xr3:uid="{23CAD9C5-87AF-49F5-9C63-007C2CA81CFA}" uniqueName="1" name="state" queryTableFieldId="1" dataDxfId="0"/>
    <tableColumn id="2" xr3:uid="{ED674E6B-7CBF-4AF0-B858-A57B8AFD0CBE}" uniqueName="2" name="total_sales" queryTableFieldId="2"/>
    <tableColumn id="3" xr3:uid="{6D1BC84D-C8F2-4C19-AFF1-0BFDF709E4C2}" uniqueName="3" name="total_profit" queryTableFieldId="3"/>
    <tableColumn id="4" xr3:uid="{65C94013-9760-459F-BA7B-0CB7ADA01D57}" uniqueName="4" name="profit_margin_pct" queryTableFieldId="4"/>
    <tableColumn id="5" xr3:uid="{C921FB2C-D1A1-4CCA-8A64-09FF84B2C6F7}" uniqueName="5" name="total_order" queryTableFieldId="5"/>
    <tableColumn id="6" xr3:uid="{46E0795F-B07A-4C2C-A996-25C2CB6A6093}" uniqueName="6" name="avg_order_value" queryTableFieldId="6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057C-6BC5-4642-A5B7-4436E439BBCC}">
  <dimension ref="B1:V88"/>
  <sheetViews>
    <sheetView tabSelected="1" zoomScale="65" zoomScaleNormal="65" workbookViewId="0">
      <selection activeCell="R92" sqref="R92"/>
    </sheetView>
  </sheetViews>
  <sheetFormatPr defaultRowHeight="14.4" x14ac:dyDescent="0.3"/>
  <cols>
    <col min="1" max="1" width="8.88671875" style="19"/>
    <col min="2" max="2" width="16.88671875" style="19" customWidth="1"/>
    <col min="3" max="9" width="14.77734375" style="19" customWidth="1"/>
    <col min="10" max="10" width="16.44140625" style="19" customWidth="1"/>
    <col min="11" max="11" width="14.77734375" style="19" customWidth="1"/>
    <col min="12" max="12" width="15.5546875" style="19" customWidth="1"/>
    <col min="13" max="13" width="12.77734375" style="19" customWidth="1"/>
    <col min="14" max="16384" width="8.88671875" style="19"/>
  </cols>
  <sheetData>
    <row r="1" spans="2:13" ht="40.049999999999997" customHeight="1" x14ac:dyDescent="0.55000000000000004">
      <c r="B1" s="45" t="s">
        <v>134</v>
      </c>
    </row>
    <row r="3" spans="2:13" ht="15" customHeight="1" x14ac:dyDescent="0.3">
      <c r="B3" s="20"/>
      <c r="C3" s="21"/>
      <c r="D3" s="20"/>
      <c r="E3" s="21"/>
      <c r="F3" s="20"/>
      <c r="G3" s="21"/>
      <c r="H3" s="20"/>
      <c r="I3" s="21"/>
      <c r="J3" s="20"/>
      <c r="K3" s="21"/>
      <c r="L3" s="20"/>
      <c r="M3" s="21"/>
    </row>
    <row r="4" spans="2:13" ht="19.95" customHeight="1" x14ac:dyDescent="0.3">
      <c r="B4" s="23" t="s">
        <v>135</v>
      </c>
      <c r="C4" s="22"/>
      <c r="D4" s="24" t="s">
        <v>136</v>
      </c>
      <c r="E4" s="22"/>
      <c r="F4" s="24" t="s">
        <v>137</v>
      </c>
      <c r="G4" s="22"/>
      <c r="H4" s="24" t="s">
        <v>138</v>
      </c>
      <c r="I4" s="22"/>
      <c r="J4" s="24" t="s">
        <v>139</v>
      </c>
      <c r="K4" s="22"/>
      <c r="L4" s="24" t="s">
        <v>140</v>
      </c>
      <c r="M4" s="22"/>
    </row>
    <row r="5" spans="2:13" ht="34.950000000000003" customHeight="1" x14ac:dyDescent="0.5">
      <c r="B5" s="27">
        <f>KPIS!A2</f>
        <v>2297201.0699999998</v>
      </c>
      <c r="C5" s="22"/>
      <c r="D5" s="25">
        <f>KPIS!B2</f>
        <v>286397.78999999998</v>
      </c>
      <c r="E5" s="22"/>
      <c r="F5" s="26">
        <f>KPIS!C2</f>
        <v>12.47</v>
      </c>
      <c r="G5" s="22"/>
      <c r="H5" s="28">
        <f>KPIS!D2</f>
        <v>5009</v>
      </c>
      <c r="I5" s="22"/>
      <c r="J5" s="33">
        <f>KPIS!E2</f>
        <v>458.61</v>
      </c>
      <c r="K5" s="22"/>
      <c r="L5" s="28">
        <f>KPIS!F2</f>
        <v>37873</v>
      </c>
      <c r="M5" s="22"/>
    </row>
    <row r="6" spans="2:13" ht="15" customHeight="1" thickBot="1" x14ac:dyDescent="0.35">
      <c r="B6" s="32"/>
      <c r="C6" s="31"/>
      <c r="D6" s="32"/>
      <c r="E6" s="31"/>
      <c r="F6" s="32"/>
      <c r="G6" s="31"/>
      <c r="H6" s="32"/>
      <c r="I6" s="31"/>
      <c r="J6" s="32"/>
      <c r="K6" s="31"/>
      <c r="L6" s="32"/>
      <c r="M6" s="31"/>
    </row>
    <row r="7" spans="2:13" ht="3" customHeight="1" x14ac:dyDescent="0.3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8" spans="2:13" ht="33.6" customHeight="1" x14ac:dyDescent="0.45">
      <c r="B8" s="44" t="s">
        <v>141</v>
      </c>
    </row>
    <row r="31" spans="2:22" ht="15" customHeight="1" x14ac:dyDescent="0.3"/>
    <row r="32" spans="2:22" ht="3.6" customHeight="1" x14ac:dyDescent="0.3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2:7" ht="33" customHeight="1" x14ac:dyDescent="0.45">
      <c r="B33" s="44" t="s">
        <v>145</v>
      </c>
    </row>
    <row r="36" spans="2:7" x14ac:dyDescent="0.3">
      <c r="G36" s="19" t="s">
        <v>157</v>
      </c>
    </row>
    <row r="59" spans="2:22" ht="3.6" customHeight="1" x14ac:dyDescent="0.3"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 spans="2:22" ht="33" customHeight="1" x14ac:dyDescent="0.45">
      <c r="B60" s="44" t="s">
        <v>156</v>
      </c>
      <c r="J60" s="44"/>
    </row>
    <row r="87" spans="2:22" ht="4.05" customHeight="1" x14ac:dyDescent="0.3"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</row>
    <row r="88" spans="2:22" ht="33" customHeight="1" x14ac:dyDescent="0.45">
      <c r="B88" s="4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0B32D-2C02-4BDA-A0A7-B8D3D9F4D543}">
  <dimension ref="A1:F2"/>
  <sheetViews>
    <sheetView workbookViewId="0">
      <selection activeCell="C2" sqref="C2"/>
    </sheetView>
  </sheetViews>
  <sheetFormatPr defaultRowHeight="14.4" x14ac:dyDescent="0.3"/>
  <cols>
    <col min="1" max="1" width="12.21875" bestFit="1" customWidth="1"/>
    <col min="2" max="2" width="12.44140625" bestFit="1" customWidth="1"/>
    <col min="3" max="3" width="19.6640625" bestFit="1" customWidth="1"/>
    <col min="4" max="4" width="13.21875" bestFit="1" customWidth="1"/>
    <col min="5" max="5" width="16.5546875" bestFit="1" customWidth="1"/>
    <col min="6" max="6" width="14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2297201.0699999998</v>
      </c>
      <c r="B2">
        <v>286397.78999999998</v>
      </c>
      <c r="C2">
        <v>12.47</v>
      </c>
      <c r="D2">
        <v>5009</v>
      </c>
      <c r="E2">
        <v>458.61</v>
      </c>
      <c r="F2">
        <v>37873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041F-702F-4E4E-BEA7-9BD645C5AD43}">
  <dimension ref="A1:F5"/>
  <sheetViews>
    <sheetView workbookViewId="0">
      <selection sqref="A1:F5"/>
    </sheetView>
  </sheetViews>
  <sheetFormatPr defaultRowHeight="14.4" x14ac:dyDescent="0.3"/>
  <cols>
    <col min="1" max="1" width="12" bestFit="1" customWidth="1"/>
    <col min="2" max="2" width="12.21875" bestFit="1" customWidth="1"/>
    <col min="3" max="3" width="12.44140625" bestFit="1" customWidth="1"/>
    <col min="4" max="4" width="22.21875" bestFit="1" customWidth="1"/>
    <col min="5" max="5" width="13.21875" bestFit="1" customWidth="1"/>
    <col min="6" max="6" width="16.5546875" bestFit="1" customWidth="1"/>
  </cols>
  <sheetData>
    <row r="1" spans="1:6" x14ac:dyDescent="0.3">
      <c r="A1" t="s">
        <v>6</v>
      </c>
      <c r="B1" t="s">
        <v>0</v>
      </c>
      <c r="C1" t="s">
        <v>1</v>
      </c>
      <c r="D1" t="s">
        <v>7</v>
      </c>
      <c r="E1" t="s">
        <v>3</v>
      </c>
      <c r="F1" t="s">
        <v>4</v>
      </c>
    </row>
    <row r="2" spans="1:6" x14ac:dyDescent="0.3">
      <c r="A2">
        <v>2014</v>
      </c>
      <c r="B2">
        <v>484247.56</v>
      </c>
      <c r="C2">
        <v>49544.06</v>
      </c>
      <c r="D2">
        <v>10.23</v>
      </c>
      <c r="E2">
        <v>969</v>
      </c>
      <c r="F2">
        <v>499.74</v>
      </c>
    </row>
    <row r="3" spans="1:6" x14ac:dyDescent="0.3">
      <c r="A3">
        <v>2015</v>
      </c>
      <c r="B3">
        <v>470532.46</v>
      </c>
      <c r="C3">
        <v>61618.69</v>
      </c>
      <c r="D3">
        <v>13.1</v>
      </c>
      <c r="E3">
        <v>1038</v>
      </c>
      <c r="F3">
        <v>453.31</v>
      </c>
    </row>
    <row r="4" spans="1:6" x14ac:dyDescent="0.3">
      <c r="A4">
        <v>2016</v>
      </c>
      <c r="B4">
        <v>609205.86</v>
      </c>
      <c r="C4">
        <v>81795.27</v>
      </c>
      <c r="D4">
        <v>13.43</v>
      </c>
      <c r="E4">
        <v>1315</v>
      </c>
      <c r="F4">
        <v>463.27</v>
      </c>
    </row>
    <row r="5" spans="1:6" x14ac:dyDescent="0.3">
      <c r="A5">
        <v>2017</v>
      </c>
      <c r="B5">
        <v>733215.19</v>
      </c>
      <c r="C5">
        <v>93439.77</v>
      </c>
      <c r="D5">
        <v>12.74</v>
      </c>
      <c r="E5">
        <v>1687</v>
      </c>
      <c r="F5">
        <v>434.63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1A42-6DCF-4CA9-8C74-AA16A923796C}">
  <dimension ref="A1:E12"/>
  <sheetViews>
    <sheetView workbookViewId="0">
      <selection activeCell="J5" sqref="J5"/>
    </sheetView>
  </sheetViews>
  <sheetFormatPr defaultRowHeight="14.4" x14ac:dyDescent="0.3"/>
  <cols>
    <col min="1" max="1" width="12" bestFit="1" customWidth="1"/>
    <col min="2" max="2" width="12.21875" bestFit="1" customWidth="1"/>
    <col min="3" max="3" width="12.44140625" bestFit="1" customWidth="1"/>
    <col min="4" max="4" width="17.5546875" bestFit="1" customWidth="1"/>
    <col min="5" max="5" width="17.77734375" bestFit="1" customWidth="1"/>
  </cols>
  <sheetData>
    <row r="1" spans="1:5" x14ac:dyDescent="0.3">
      <c r="A1" t="s">
        <v>6</v>
      </c>
      <c r="B1" t="s">
        <v>0</v>
      </c>
      <c r="C1" t="s">
        <v>1</v>
      </c>
      <c r="D1" t="s">
        <v>8</v>
      </c>
      <c r="E1" t="s">
        <v>9</v>
      </c>
    </row>
    <row r="2" spans="1:5" x14ac:dyDescent="0.3">
      <c r="A2">
        <v>2014</v>
      </c>
      <c r="B2">
        <v>484247.56</v>
      </c>
      <c r="C2">
        <v>49544.06</v>
      </c>
      <c r="D2" s="5" t="s">
        <v>10</v>
      </c>
      <c r="E2" s="5" t="s">
        <v>10</v>
      </c>
    </row>
    <row r="3" spans="1:5" x14ac:dyDescent="0.3">
      <c r="A3">
        <v>2015</v>
      </c>
      <c r="B3">
        <v>470532.46</v>
      </c>
      <c r="C3">
        <v>61618.69</v>
      </c>
      <c r="D3" s="5">
        <v>-2.83</v>
      </c>
      <c r="E3" s="5">
        <v>24.37</v>
      </c>
    </row>
    <row r="4" spans="1:5" x14ac:dyDescent="0.3">
      <c r="A4">
        <v>2016</v>
      </c>
      <c r="B4">
        <v>609205.86</v>
      </c>
      <c r="C4">
        <v>81795.27</v>
      </c>
      <c r="D4" s="5">
        <v>29.47</v>
      </c>
      <c r="E4" s="5">
        <v>32.74</v>
      </c>
    </row>
    <row r="5" spans="1:5" x14ac:dyDescent="0.3">
      <c r="A5">
        <v>2017</v>
      </c>
      <c r="B5">
        <v>733215.19</v>
      </c>
      <c r="C5">
        <v>93439.77</v>
      </c>
      <c r="D5" s="5">
        <v>20.36</v>
      </c>
      <c r="E5" s="5">
        <v>14.24</v>
      </c>
    </row>
    <row r="9" spans="1:5" ht="15" thickBot="1" x14ac:dyDescent="0.35">
      <c r="A9" s="6" t="s">
        <v>6</v>
      </c>
      <c r="B9" s="7" t="s">
        <v>8</v>
      </c>
    </row>
    <row r="10" spans="1:5" ht="15" thickTop="1" x14ac:dyDescent="0.3">
      <c r="A10" s="9">
        <v>2015</v>
      </c>
      <c r="B10" s="35">
        <v>-2.83</v>
      </c>
    </row>
    <row r="11" spans="1:5" x14ac:dyDescent="0.3">
      <c r="A11" s="8">
        <v>2016</v>
      </c>
      <c r="B11" s="34">
        <v>29.47</v>
      </c>
    </row>
    <row r="12" spans="1:5" x14ac:dyDescent="0.3">
      <c r="A12" s="10">
        <v>2017</v>
      </c>
      <c r="B12" s="36">
        <v>20.36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1420-8EAA-4D91-BF0D-D6645F9D98E7}">
  <dimension ref="A1:H49"/>
  <sheetViews>
    <sheetView workbookViewId="0">
      <selection activeCell="D2" sqref="D2"/>
    </sheetView>
  </sheetViews>
  <sheetFormatPr defaultRowHeight="14.4" x14ac:dyDescent="0.3"/>
  <cols>
    <col min="1" max="1" width="12" bestFit="1" customWidth="1"/>
    <col min="2" max="2" width="13.77734375" bestFit="1" customWidth="1"/>
    <col min="3" max="3" width="14" bestFit="1" customWidth="1"/>
    <col min="4" max="4" width="20" bestFit="1" customWidth="1"/>
    <col min="5" max="5" width="20.21875" bestFit="1" customWidth="1"/>
    <col min="6" max="6" width="19.6640625" bestFit="1" customWidth="1"/>
    <col min="7" max="7" width="13.21875" bestFit="1" customWidth="1"/>
    <col min="8" max="8" width="16.5546875" bestFit="1" customWidth="1"/>
  </cols>
  <sheetData>
    <row r="1" spans="1:8" x14ac:dyDescent="0.3">
      <c r="A1" t="s">
        <v>6</v>
      </c>
      <c r="B1" t="s">
        <v>11</v>
      </c>
      <c r="C1" t="s">
        <v>12</v>
      </c>
      <c r="D1" t="s">
        <v>13</v>
      </c>
      <c r="E1" t="s">
        <v>14</v>
      </c>
      <c r="F1" t="s">
        <v>2</v>
      </c>
      <c r="G1" t="s">
        <v>3</v>
      </c>
      <c r="H1" t="s">
        <v>4</v>
      </c>
    </row>
    <row r="2" spans="1:8" x14ac:dyDescent="0.3">
      <c r="A2">
        <v>2014</v>
      </c>
      <c r="B2">
        <v>1</v>
      </c>
      <c r="C2" s="5" t="s">
        <v>15</v>
      </c>
      <c r="D2">
        <v>14236.9</v>
      </c>
      <c r="E2">
        <v>2450.1799999999998</v>
      </c>
      <c r="F2">
        <v>17.21</v>
      </c>
      <c r="G2">
        <v>32</v>
      </c>
      <c r="H2">
        <v>444.9</v>
      </c>
    </row>
    <row r="3" spans="1:8" x14ac:dyDescent="0.3">
      <c r="A3">
        <v>2014</v>
      </c>
      <c r="B3">
        <v>2</v>
      </c>
      <c r="C3" s="5" t="s">
        <v>16</v>
      </c>
      <c r="D3">
        <v>4519.92</v>
      </c>
      <c r="E3">
        <v>862.3</v>
      </c>
      <c r="F3">
        <v>19.079999999999998</v>
      </c>
      <c r="G3">
        <v>28</v>
      </c>
      <c r="H3">
        <v>161.43</v>
      </c>
    </row>
    <row r="4" spans="1:8" x14ac:dyDescent="0.3">
      <c r="A4">
        <v>2014</v>
      </c>
      <c r="B4">
        <v>3</v>
      </c>
      <c r="C4" s="5" t="s">
        <v>17</v>
      </c>
      <c r="D4">
        <v>55691.040000000001</v>
      </c>
      <c r="E4">
        <v>498.72</v>
      </c>
      <c r="F4">
        <v>0.9</v>
      </c>
      <c r="G4">
        <v>71</v>
      </c>
      <c r="H4">
        <v>784.38</v>
      </c>
    </row>
    <row r="5" spans="1:8" x14ac:dyDescent="0.3">
      <c r="A5">
        <v>2014</v>
      </c>
      <c r="B5">
        <v>4</v>
      </c>
      <c r="C5" s="5" t="s">
        <v>18</v>
      </c>
      <c r="D5">
        <v>28295.35</v>
      </c>
      <c r="E5">
        <v>3488.86</v>
      </c>
      <c r="F5">
        <v>12.33</v>
      </c>
      <c r="G5">
        <v>66</v>
      </c>
      <c r="H5">
        <v>428.72</v>
      </c>
    </row>
    <row r="6" spans="1:8" x14ac:dyDescent="0.3">
      <c r="A6">
        <v>2014</v>
      </c>
      <c r="B6">
        <v>5</v>
      </c>
      <c r="C6" s="5" t="s">
        <v>19</v>
      </c>
      <c r="D6">
        <v>23648.28</v>
      </c>
      <c r="E6">
        <v>2738.74</v>
      </c>
      <c r="F6">
        <v>11.58</v>
      </c>
      <c r="G6">
        <v>69</v>
      </c>
      <c r="H6">
        <v>342.73</v>
      </c>
    </row>
    <row r="7" spans="1:8" x14ac:dyDescent="0.3">
      <c r="A7">
        <v>2014</v>
      </c>
      <c r="B7">
        <v>6</v>
      </c>
      <c r="C7" s="5" t="s">
        <v>20</v>
      </c>
      <c r="D7">
        <v>34595.14</v>
      </c>
      <c r="E7">
        <v>4976.5600000000004</v>
      </c>
      <c r="F7">
        <v>14.39</v>
      </c>
      <c r="G7">
        <v>66</v>
      </c>
      <c r="H7">
        <v>524.16999999999996</v>
      </c>
    </row>
    <row r="8" spans="1:8" x14ac:dyDescent="0.3">
      <c r="A8">
        <v>2014</v>
      </c>
      <c r="B8">
        <v>7</v>
      </c>
      <c r="C8" s="5" t="s">
        <v>21</v>
      </c>
      <c r="D8">
        <v>33946.370000000003</v>
      </c>
      <c r="E8">
        <v>-841.46</v>
      </c>
      <c r="F8">
        <v>-2.48</v>
      </c>
      <c r="G8">
        <v>65</v>
      </c>
      <c r="H8">
        <v>522.25</v>
      </c>
    </row>
    <row r="9" spans="1:8" x14ac:dyDescent="0.3">
      <c r="A9">
        <v>2014</v>
      </c>
      <c r="B9">
        <v>8</v>
      </c>
      <c r="C9" s="5" t="s">
        <v>22</v>
      </c>
      <c r="D9">
        <v>27909.47</v>
      </c>
      <c r="E9">
        <v>5318.11</v>
      </c>
      <c r="F9">
        <v>19.05</v>
      </c>
      <c r="G9">
        <v>72</v>
      </c>
      <c r="H9">
        <v>387.63</v>
      </c>
    </row>
    <row r="10" spans="1:8" x14ac:dyDescent="0.3">
      <c r="A10">
        <v>2014</v>
      </c>
      <c r="B10">
        <v>9</v>
      </c>
      <c r="C10" s="5" t="s">
        <v>23</v>
      </c>
      <c r="D10">
        <v>81777.34</v>
      </c>
      <c r="E10">
        <v>8328.08</v>
      </c>
      <c r="F10">
        <v>10.18</v>
      </c>
      <c r="G10">
        <v>130</v>
      </c>
      <c r="H10">
        <v>629.05999999999995</v>
      </c>
    </row>
    <row r="11" spans="1:8" x14ac:dyDescent="0.3">
      <c r="A11">
        <v>2014</v>
      </c>
      <c r="B11">
        <v>10</v>
      </c>
      <c r="C11" s="5" t="s">
        <v>24</v>
      </c>
      <c r="D11">
        <v>31453.37</v>
      </c>
      <c r="E11">
        <v>3448.23</v>
      </c>
      <c r="F11">
        <v>10.96</v>
      </c>
      <c r="G11">
        <v>78</v>
      </c>
      <c r="H11">
        <v>403.25</v>
      </c>
    </row>
    <row r="12" spans="1:8" x14ac:dyDescent="0.3">
      <c r="A12">
        <v>2014</v>
      </c>
      <c r="B12">
        <v>11</v>
      </c>
      <c r="C12" s="5" t="s">
        <v>25</v>
      </c>
      <c r="D12">
        <v>78628.740000000005</v>
      </c>
      <c r="E12">
        <v>9292.15</v>
      </c>
      <c r="F12">
        <v>11.82</v>
      </c>
      <c r="G12">
        <v>151</v>
      </c>
      <c r="H12">
        <v>520.72</v>
      </c>
    </row>
    <row r="13" spans="1:8" x14ac:dyDescent="0.3">
      <c r="A13">
        <v>2014</v>
      </c>
      <c r="B13">
        <v>12</v>
      </c>
      <c r="C13" s="5" t="s">
        <v>26</v>
      </c>
      <c r="D13">
        <v>69545.64</v>
      </c>
      <c r="E13">
        <v>8983.59</v>
      </c>
      <c r="F13">
        <v>12.92</v>
      </c>
      <c r="G13">
        <v>141</v>
      </c>
      <c r="H13">
        <v>493.23</v>
      </c>
    </row>
    <row r="14" spans="1:8" x14ac:dyDescent="0.3">
      <c r="A14">
        <v>2015</v>
      </c>
      <c r="B14">
        <v>1</v>
      </c>
      <c r="C14" s="5" t="s">
        <v>15</v>
      </c>
      <c r="D14">
        <v>18174.080000000002</v>
      </c>
      <c r="E14">
        <v>-3280.97</v>
      </c>
      <c r="F14">
        <v>-18.05</v>
      </c>
      <c r="G14">
        <v>29</v>
      </c>
      <c r="H14">
        <v>626.69000000000005</v>
      </c>
    </row>
    <row r="15" spans="1:8" x14ac:dyDescent="0.3">
      <c r="A15">
        <v>2015</v>
      </c>
      <c r="B15">
        <v>2</v>
      </c>
      <c r="C15" s="5" t="s">
        <v>16</v>
      </c>
      <c r="D15">
        <v>11951.4</v>
      </c>
      <c r="E15">
        <v>2813.84</v>
      </c>
      <c r="F15">
        <v>23.54</v>
      </c>
      <c r="G15">
        <v>36</v>
      </c>
      <c r="H15">
        <v>331.98</v>
      </c>
    </row>
    <row r="16" spans="1:8" x14ac:dyDescent="0.3">
      <c r="A16">
        <v>2015</v>
      </c>
      <c r="B16">
        <v>3</v>
      </c>
      <c r="C16" s="5" t="s">
        <v>17</v>
      </c>
      <c r="D16">
        <v>38726.26</v>
      </c>
      <c r="E16">
        <v>9732.07</v>
      </c>
      <c r="F16">
        <v>25.13</v>
      </c>
      <c r="G16">
        <v>79</v>
      </c>
      <c r="H16">
        <v>490.21</v>
      </c>
    </row>
    <row r="17" spans="1:8" x14ac:dyDescent="0.3">
      <c r="A17">
        <v>2015</v>
      </c>
      <c r="B17">
        <v>4</v>
      </c>
      <c r="C17" s="5" t="s">
        <v>18</v>
      </c>
      <c r="D17">
        <v>34195.25</v>
      </c>
      <c r="E17">
        <v>4187.53</v>
      </c>
      <c r="F17">
        <v>12.25</v>
      </c>
      <c r="G17">
        <v>72</v>
      </c>
      <c r="H17">
        <v>474.93</v>
      </c>
    </row>
    <row r="18" spans="1:8" x14ac:dyDescent="0.3">
      <c r="A18">
        <v>2015</v>
      </c>
      <c r="B18">
        <v>5</v>
      </c>
      <c r="C18" s="5" t="s">
        <v>19</v>
      </c>
      <c r="D18">
        <v>30131.72</v>
      </c>
      <c r="E18">
        <v>4667.83</v>
      </c>
      <c r="F18">
        <v>15.49</v>
      </c>
      <c r="G18">
        <v>74</v>
      </c>
      <c r="H18">
        <v>407.19</v>
      </c>
    </row>
    <row r="19" spans="1:8" x14ac:dyDescent="0.3">
      <c r="A19">
        <v>2015</v>
      </c>
      <c r="B19">
        <v>6</v>
      </c>
      <c r="C19" s="5" t="s">
        <v>20</v>
      </c>
      <c r="D19">
        <v>24797.31</v>
      </c>
      <c r="E19">
        <v>3335.56</v>
      </c>
      <c r="F19">
        <v>13.45</v>
      </c>
      <c r="G19">
        <v>68</v>
      </c>
      <c r="H19">
        <v>364.67</v>
      </c>
    </row>
    <row r="20" spans="1:8" x14ac:dyDescent="0.3">
      <c r="A20">
        <v>2015</v>
      </c>
      <c r="B20">
        <v>7</v>
      </c>
      <c r="C20" s="5" t="s">
        <v>21</v>
      </c>
      <c r="D20">
        <v>28765.32</v>
      </c>
      <c r="E20">
        <v>3288.71</v>
      </c>
      <c r="F20">
        <v>11.43</v>
      </c>
      <c r="G20">
        <v>66</v>
      </c>
      <c r="H20">
        <v>435.84</v>
      </c>
    </row>
    <row r="21" spans="1:8" x14ac:dyDescent="0.3">
      <c r="A21">
        <v>2015</v>
      </c>
      <c r="B21">
        <v>8</v>
      </c>
      <c r="C21" s="5" t="s">
        <v>22</v>
      </c>
      <c r="D21">
        <v>36898.32</v>
      </c>
      <c r="E21">
        <v>5355.82</v>
      </c>
      <c r="F21">
        <v>14.52</v>
      </c>
      <c r="G21">
        <v>68</v>
      </c>
      <c r="H21">
        <v>542.62</v>
      </c>
    </row>
    <row r="22" spans="1:8" x14ac:dyDescent="0.3">
      <c r="A22">
        <v>2015</v>
      </c>
      <c r="B22">
        <v>9</v>
      </c>
      <c r="C22" s="5" t="s">
        <v>23</v>
      </c>
      <c r="D22">
        <v>64595.87</v>
      </c>
      <c r="E22">
        <v>8209.17</v>
      </c>
      <c r="F22">
        <v>12.71</v>
      </c>
      <c r="G22">
        <v>140</v>
      </c>
      <c r="H22">
        <v>461.4</v>
      </c>
    </row>
    <row r="23" spans="1:8" x14ac:dyDescent="0.3">
      <c r="A23">
        <v>2015</v>
      </c>
      <c r="B23">
        <v>10</v>
      </c>
      <c r="C23" s="5" t="s">
        <v>24</v>
      </c>
      <c r="D23">
        <v>31404.9</v>
      </c>
      <c r="E23">
        <v>2817.37</v>
      </c>
      <c r="F23">
        <v>8.9700000000000006</v>
      </c>
      <c r="G23">
        <v>87</v>
      </c>
      <c r="H23">
        <v>360.98</v>
      </c>
    </row>
    <row r="24" spans="1:8" x14ac:dyDescent="0.3">
      <c r="A24">
        <v>2015</v>
      </c>
      <c r="B24">
        <v>11</v>
      </c>
      <c r="C24" s="5" t="s">
        <v>25</v>
      </c>
      <c r="D24">
        <v>75972.509999999995</v>
      </c>
      <c r="E24">
        <v>12474.8</v>
      </c>
      <c r="F24">
        <v>16.420000000000002</v>
      </c>
      <c r="G24">
        <v>158</v>
      </c>
      <c r="H24">
        <v>480.84</v>
      </c>
    </row>
    <row r="25" spans="1:8" x14ac:dyDescent="0.3">
      <c r="A25">
        <v>2015</v>
      </c>
      <c r="B25">
        <v>12</v>
      </c>
      <c r="C25" s="5" t="s">
        <v>26</v>
      </c>
      <c r="D25">
        <v>74919.520000000004</v>
      </c>
      <c r="E25">
        <v>8016.96</v>
      </c>
      <c r="F25">
        <v>10.7</v>
      </c>
      <c r="G25">
        <v>161</v>
      </c>
      <c r="H25">
        <v>465.34</v>
      </c>
    </row>
    <row r="26" spans="1:8" x14ac:dyDescent="0.3">
      <c r="A26">
        <v>2016</v>
      </c>
      <c r="B26">
        <v>1</v>
      </c>
      <c r="C26" s="5" t="s">
        <v>15</v>
      </c>
      <c r="D26">
        <v>18542.52</v>
      </c>
      <c r="E26">
        <v>2824.82</v>
      </c>
      <c r="F26">
        <v>15.23</v>
      </c>
      <c r="G26">
        <v>48</v>
      </c>
      <c r="H26">
        <v>386.3</v>
      </c>
    </row>
    <row r="27" spans="1:8" x14ac:dyDescent="0.3">
      <c r="A27">
        <v>2016</v>
      </c>
      <c r="B27">
        <v>2</v>
      </c>
      <c r="C27" s="5" t="s">
        <v>16</v>
      </c>
      <c r="D27">
        <v>22978.82</v>
      </c>
      <c r="E27">
        <v>5004.59</v>
      </c>
      <c r="F27">
        <v>21.78</v>
      </c>
      <c r="G27">
        <v>45</v>
      </c>
      <c r="H27">
        <v>510.64</v>
      </c>
    </row>
    <row r="28" spans="1:8" x14ac:dyDescent="0.3">
      <c r="A28">
        <v>2016</v>
      </c>
      <c r="B28">
        <v>3</v>
      </c>
      <c r="C28" s="5" t="s">
        <v>17</v>
      </c>
      <c r="D28">
        <v>51715.86</v>
      </c>
      <c r="E28">
        <v>3611.98</v>
      </c>
      <c r="F28">
        <v>6.98</v>
      </c>
      <c r="G28">
        <v>86</v>
      </c>
      <c r="H28">
        <v>601.35</v>
      </c>
    </row>
    <row r="29" spans="1:8" x14ac:dyDescent="0.3">
      <c r="A29">
        <v>2016</v>
      </c>
      <c r="B29">
        <v>4</v>
      </c>
      <c r="C29" s="5" t="s">
        <v>18</v>
      </c>
      <c r="D29">
        <v>38750.04</v>
      </c>
      <c r="E29">
        <v>2977.88</v>
      </c>
      <c r="F29">
        <v>7.68</v>
      </c>
      <c r="G29">
        <v>89</v>
      </c>
      <c r="H29">
        <v>435.39</v>
      </c>
    </row>
    <row r="30" spans="1:8" x14ac:dyDescent="0.3">
      <c r="A30">
        <v>2016</v>
      </c>
      <c r="B30">
        <v>5</v>
      </c>
      <c r="C30" s="5" t="s">
        <v>19</v>
      </c>
      <c r="D30">
        <v>56987.75</v>
      </c>
      <c r="E30">
        <v>8662.09</v>
      </c>
      <c r="F30">
        <v>15.2</v>
      </c>
      <c r="G30">
        <v>108</v>
      </c>
      <c r="H30">
        <v>527.66</v>
      </c>
    </row>
    <row r="31" spans="1:8" x14ac:dyDescent="0.3">
      <c r="A31">
        <v>2016</v>
      </c>
      <c r="B31">
        <v>6</v>
      </c>
      <c r="C31" s="5" t="s">
        <v>20</v>
      </c>
      <c r="D31">
        <v>40344.54</v>
      </c>
      <c r="E31">
        <v>4750.33</v>
      </c>
      <c r="F31">
        <v>11.77</v>
      </c>
      <c r="G31">
        <v>97</v>
      </c>
      <c r="H31">
        <v>415.92</v>
      </c>
    </row>
    <row r="32" spans="1:8" x14ac:dyDescent="0.3">
      <c r="A32">
        <v>2016</v>
      </c>
      <c r="B32">
        <v>7</v>
      </c>
      <c r="C32" s="5" t="s">
        <v>21</v>
      </c>
      <c r="D32">
        <v>39261.99</v>
      </c>
      <c r="E32">
        <v>4432.8999999999996</v>
      </c>
      <c r="F32">
        <v>11.29</v>
      </c>
      <c r="G32">
        <v>96</v>
      </c>
      <c r="H32">
        <v>408.98</v>
      </c>
    </row>
    <row r="33" spans="1:8" x14ac:dyDescent="0.3">
      <c r="A33">
        <v>2016</v>
      </c>
      <c r="B33">
        <v>8</v>
      </c>
      <c r="C33" s="5" t="s">
        <v>22</v>
      </c>
      <c r="D33">
        <v>31115.35</v>
      </c>
      <c r="E33">
        <v>2062.0500000000002</v>
      </c>
      <c r="F33">
        <v>6.63</v>
      </c>
      <c r="G33">
        <v>90</v>
      </c>
      <c r="H33">
        <v>345.73</v>
      </c>
    </row>
    <row r="34" spans="1:8" x14ac:dyDescent="0.3">
      <c r="A34">
        <v>2016</v>
      </c>
      <c r="B34">
        <v>9</v>
      </c>
      <c r="C34" s="5" t="s">
        <v>23</v>
      </c>
      <c r="D34">
        <v>73410.09</v>
      </c>
      <c r="E34">
        <v>9328.68</v>
      </c>
      <c r="F34">
        <v>12.71</v>
      </c>
      <c r="G34">
        <v>192</v>
      </c>
      <c r="H34">
        <v>382.34</v>
      </c>
    </row>
    <row r="35" spans="1:8" x14ac:dyDescent="0.3">
      <c r="A35">
        <v>2016</v>
      </c>
      <c r="B35">
        <v>10</v>
      </c>
      <c r="C35" s="5" t="s">
        <v>24</v>
      </c>
      <c r="D35">
        <v>59687.8</v>
      </c>
      <c r="E35">
        <v>16243.22</v>
      </c>
      <c r="F35">
        <v>27.21</v>
      </c>
      <c r="G35">
        <v>105</v>
      </c>
      <c r="H35">
        <v>568.46</v>
      </c>
    </row>
    <row r="36" spans="1:8" x14ac:dyDescent="0.3">
      <c r="A36">
        <v>2016</v>
      </c>
      <c r="B36">
        <v>11</v>
      </c>
      <c r="C36" s="5" t="s">
        <v>25</v>
      </c>
      <c r="D36">
        <v>79412.03</v>
      </c>
      <c r="E36">
        <v>4011.45</v>
      </c>
      <c r="F36">
        <v>5.05</v>
      </c>
      <c r="G36">
        <v>183</v>
      </c>
      <c r="H36">
        <v>433.95</v>
      </c>
    </row>
    <row r="37" spans="1:8" x14ac:dyDescent="0.3">
      <c r="A37">
        <v>2016</v>
      </c>
      <c r="B37">
        <v>12</v>
      </c>
      <c r="C37" s="5" t="s">
        <v>26</v>
      </c>
      <c r="D37">
        <v>96999.07</v>
      </c>
      <c r="E37">
        <v>17885.28</v>
      </c>
      <c r="F37">
        <v>18.440000000000001</v>
      </c>
      <c r="G37">
        <v>176</v>
      </c>
      <c r="H37">
        <v>551.13</v>
      </c>
    </row>
    <row r="38" spans="1:8" x14ac:dyDescent="0.3">
      <c r="A38">
        <v>2017</v>
      </c>
      <c r="B38">
        <v>1</v>
      </c>
      <c r="C38" s="5" t="s">
        <v>15</v>
      </c>
      <c r="D38">
        <v>43971.37</v>
      </c>
      <c r="E38">
        <v>7140.45</v>
      </c>
      <c r="F38">
        <v>16.239999999999998</v>
      </c>
      <c r="G38">
        <v>69</v>
      </c>
      <c r="H38">
        <v>637.27</v>
      </c>
    </row>
    <row r="39" spans="1:8" x14ac:dyDescent="0.3">
      <c r="A39">
        <v>2017</v>
      </c>
      <c r="B39">
        <v>2</v>
      </c>
      <c r="C39" s="5" t="s">
        <v>16</v>
      </c>
      <c r="D39">
        <v>20301.12</v>
      </c>
      <c r="E39">
        <v>1613.89</v>
      </c>
      <c r="F39">
        <v>7.95</v>
      </c>
      <c r="G39">
        <v>53</v>
      </c>
      <c r="H39">
        <v>383.04</v>
      </c>
    </row>
    <row r="40" spans="1:8" x14ac:dyDescent="0.3">
      <c r="A40">
        <v>2017</v>
      </c>
      <c r="B40">
        <v>3</v>
      </c>
      <c r="C40" s="5" t="s">
        <v>17</v>
      </c>
      <c r="D40">
        <v>58872.35</v>
      </c>
      <c r="E40">
        <v>14751.87</v>
      </c>
      <c r="F40">
        <v>25.06</v>
      </c>
      <c r="G40">
        <v>118</v>
      </c>
      <c r="H40">
        <v>498.92</v>
      </c>
    </row>
    <row r="41" spans="1:8" x14ac:dyDescent="0.3">
      <c r="A41">
        <v>2017</v>
      </c>
      <c r="B41">
        <v>4</v>
      </c>
      <c r="C41" s="5" t="s">
        <v>18</v>
      </c>
      <c r="D41">
        <v>36521.519999999997</v>
      </c>
      <c r="E41">
        <v>933.3</v>
      </c>
      <c r="F41">
        <v>2.56</v>
      </c>
      <c r="G41">
        <v>116</v>
      </c>
      <c r="H41">
        <v>314.83999999999997</v>
      </c>
    </row>
    <row r="42" spans="1:8" x14ac:dyDescent="0.3">
      <c r="A42">
        <v>2017</v>
      </c>
      <c r="B42">
        <v>5</v>
      </c>
      <c r="C42" s="5" t="s">
        <v>19</v>
      </c>
      <c r="D42">
        <v>44261.08</v>
      </c>
      <c r="E42">
        <v>6342.7</v>
      </c>
      <c r="F42">
        <v>14.33</v>
      </c>
      <c r="G42">
        <v>118</v>
      </c>
      <c r="H42">
        <v>375.09</v>
      </c>
    </row>
    <row r="43" spans="1:8" x14ac:dyDescent="0.3">
      <c r="A43">
        <v>2017</v>
      </c>
      <c r="B43">
        <v>6</v>
      </c>
      <c r="C43" s="5" t="s">
        <v>20</v>
      </c>
      <c r="D43">
        <v>52981.73</v>
      </c>
      <c r="E43">
        <v>8223.42</v>
      </c>
      <c r="F43">
        <v>15.52</v>
      </c>
      <c r="G43">
        <v>133</v>
      </c>
      <c r="H43">
        <v>398.36</v>
      </c>
    </row>
    <row r="44" spans="1:8" x14ac:dyDescent="0.3">
      <c r="A44">
        <v>2017</v>
      </c>
      <c r="B44">
        <v>7</v>
      </c>
      <c r="C44" s="5" t="s">
        <v>21</v>
      </c>
      <c r="D44">
        <v>45264.43</v>
      </c>
      <c r="E44">
        <v>6952.6</v>
      </c>
      <c r="F44">
        <v>15.36</v>
      </c>
      <c r="G44">
        <v>111</v>
      </c>
      <c r="H44">
        <v>407.79</v>
      </c>
    </row>
    <row r="45" spans="1:8" x14ac:dyDescent="0.3">
      <c r="A45">
        <v>2017</v>
      </c>
      <c r="B45">
        <v>8</v>
      </c>
      <c r="C45" s="5" t="s">
        <v>22</v>
      </c>
      <c r="D45">
        <v>63120.85</v>
      </c>
      <c r="E45">
        <v>9041.09</v>
      </c>
      <c r="F45">
        <v>14.32</v>
      </c>
      <c r="G45">
        <v>111</v>
      </c>
      <c r="H45">
        <v>568.66</v>
      </c>
    </row>
    <row r="46" spans="1:8" x14ac:dyDescent="0.3">
      <c r="A46">
        <v>2017</v>
      </c>
      <c r="B46">
        <v>9</v>
      </c>
      <c r="C46" s="5" t="s">
        <v>23</v>
      </c>
      <c r="D46">
        <v>87866.66</v>
      </c>
      <c r="E46">
        <v>10991.57</v>
      </c>
      <c r="F46">
        <v>12.51</v>
      </c>
      <c r="G46">
        <v>226</v>
      </c>
      <c r="H46">
        <v>388.79</v>
      </c>
    </row>
    <row r="47" spans="1:8" x14ac:dyDescent="0.3">
      <c r="A47">
        <v>2017</v>
      </c>
      <c r="B47">
        <v>10</v>
      </c>
      <c r="C47" s="5" t="s">
        <v>24</v>
      </c>
      <c r="D47">
        <v>77776.960000000006</v>
      </c>
      <c r="E47">
        <v>9275.3799999999992</v>
      </c>
      <c r="F47">
        <v>11.93</v>
      </c>
      <c r="G47">
        <v>147</v>
      </c>
      <c r="H47">
        <v>529.09</v>
      </c>
    </row>
    <row r="48" spans="1:8" x14ac:dyDescent="0.3">
      <c r="A48">
        <v>2017</v>
      </c>
      <c r="B48">
        <v>11</v>
      </c>
      <c r="C48" s="5" t="s">
        <v>25</v>
      </c>
      <c r="D48">
        <v>118447.81</v>
      </c>
      <c r="E48">
        <v>9690.1</v>
      </c>
      <c r="F48">
        <v>8.18</v>
      </c>
      <c r="G48">
        <v>261</v>
      </c>
      <c r="H48">
        <v>453.82</v>
      </c>
    </row>
    <row r="49" spans="1:8" x14ac:dyDescent="0.3">
      <c r="A49">
        <v>2017</v>
      </c>
      <c r="B49">
        <v>12</v>
      </c>
      <c r="C49" s="5" t="s">
        <v>26</v>
      </c>
      <c r="D49">
        <v>83829.31</v>
      </c>
      <c r="E49">
        <v>8483.4</v>
      </c>
      <c r="F49">
        <v>10.119999999999999</v>
      </c>
      <c r="G49">
        <v>224</v>
      </c>
      <c r="H49">
        <v>374.24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08E3A-24F4-4093-8BAD-F603B29F8CCA}">
  <dimension ref="A1:F13"/>
  <sheetViews>
    <sheetView workbookViewId="0">
      <selection activeCell="Q13" sqref="Q13"/>
    </sheetView>
  </sheetViews>
  <sheetFormatPr defaultRowHeight="14.4" x14ac:dyDescent="0.3"/>
  <cols>
    <col min="1" max="1" width="10.109375" bestFit="1" customWidth="1"/>
    <col min="5" max="5" width="10" bestFit="1" customWidth="1"/>
    <col min="6" max="6" width="9.77734375" bestFit="1" customWidth="1"/>
  </cols>
  <sheetData>
    <row r="1" spans="1:6" x14ac:dyDescent="0.3">
      <c r="A1" t="s">
        <v>142</v>
      </c>
      <c r="B1">
        <v>2014</v>
      </c>
      <c r="C1">
        <v>2015</v>
      </c>
      <c r="D1">
        <v>2016</v>
      </c>
      <c r="E1">
        <v>2017</v>
      </c>
    </row>
    <row r="2" spans="1:6" x14ac:dyDescent="0.3">
      <c r="A2">
        <v>1</v>
      </c>
      <c r="B2">
        <f>SUMIFS(Monthly!$D:$D,Monthly!$A:$A,B$1,Monthly!$B:$B,$A2)</f>
        <v>14236.9</v>
      </c>
      <c r="C2">
        <f>SUMIFS(Monthly!$D:$D,Monthly!$A:$A,C$1,Monthly!$B:$B,$A2)</f>
        <v>18174.080000000002</v>
      </c>
      <c r="D2">
        <f>SUMIFS(Monthly!$D:$D,Monthly!$A:$A,D$1,Monthly!$B:$B,$A2)</f>
        <v>18542.52</v>
      </c>
      <c r="E2">
        <f>SUMIFS(Monthly!$D:$D,Monthly!$A:$A,E$1,Monthly!$B:$B,$A2)</f>
        <v>43971.37</v>
      </c>
      <c r="F2" t="s">
        <v>15</v>
      </c>
    </row>
    <row r="3" spans="1:6" x14ac:dyDescent="0.3">
      <c r="A3">
        <v>2</v>
      </c>
      <c r="B3">
        <f>SUMIFS(Monthly!$D:$D,Monthly!$A:$A,B$1,Monthly!$B:$B,$A3)</f>
        <v>4519.92</v>
      </c>
      <c r="C3">
        <f>SUMIFS(Monthly!$D:$D,Monthly!$A:$A,C$1,Monthly!$B:$B,$A3)</f>
        <v>11951.4</v>
      </c>
      <c r="D3">
        <f>SUMIFS(Monthly!$D:$D,Monthly!$A:$A,D$1,Monthly!$B:$B,$A3)</f>
        <v>22978.82</v>
      </c>
      <c r="E3">
        <f>SUMIFS(Monthly!$D:$D,Monthly!$A:$A,E$1,Monthly!$B:$B,$A3)</f>
        <v>20301.12</v>
      </c>
      <c r="F3" t="s">
        <v>143</v>
      </c>
    </row>
    <row r="4" spans="1:6" x14ac:dyDescent="0.3">
      <c r="A4">
        <v>3</v>
      </c>
      <c r="B4">
        <f>SUMIFS(Monthly!$D:$D,Monthly!$A:$A,B$1,Monthly!$B:$B,$A4)</f>
        <v>55691.040000000001</v>
      </c>
      <c r="C4">
        <f>SUMIFS(Monthly!$D:$D,Monthly!$A:$A,C$1,Monthly!$B:$B,$A4)</f>
        <v>38726.26</v>
      </c>
      <c r="D4">
        <f>SUMIFS(Monthly!$D:$D,Monthly!$A:$A,D$1,Monthly!$B:$B,$A4)</f>
        <v>51715.86</v>
      </c>
      <c r="E4">
        <f>SUMIFS(Monthly!$D:$D,Monthly!$A:$A,E$1,Monthly!$B:$B,$A4)</f>
        <v>58872.35</v>
      </c>
      <c r="F4" t="s">
        <v>17</v>
      </c>
    </row>
    <row r="5" spans="1:6" x14ac:dyDescent="0.3">
      <c r="A5">
        <v>4</v>
      </c>
      <c r="B5">
        <f>SUMIFS(Monthly!$D:$D,Monthly!$A:$A,B$1,Monthly!$B:$B,$A5)</f>
        <v>28295.35</v>
      </c>
      <c r="C5">
        <f>SUMIFS(Monthly!$D:$D,Monthly!$A:$A,C$1,Monthly!$B:$B,$A5)</f>
        <v>34195.25</v>
      </c>
      <c r="D5">
        <f>SUMIFS(Monthly!$D:$D,Monthly!$A:$A,D$1,Monthly!$B:$B,$A5)</f>
        <v>38750.04</v>
      </c>
      <c r="E5">
        <f>SUMIFS(Monthly!$D:$D,Monthly!$A:$A,E$1,Monthly!$B:$B,$A5)</f>
        <v>36521.519999999997</v>
      </c>
      <c r="F5" t="s">
        <v>18</v>
      </c>
    </row>
    <row r="6" spans="1:6" x14ac:dyDescent="0.3">
      <c r="A6">
        <v>5</v>
      </c>
      <c r="B6">
        <f>SUMIFS(Monthly!$D:$D,Monthly!$A:$A,B$1,Monthly!$B:$B,$A6)</f>
        <v>23648.28</v>
      </c>
      <c r="C6">
        <f>SUMIFS(Monthly!$D:$D,Monthly!$A:$A,C$1,Monthly!$B:$B,$A6)</f>
        <v>30131.72</v>
      </c>
      <c r="D6">
        <f>SUMIFS(Monthly!$D:$D,Monthly!$A:$A,D$1,Monthly!$B:$B,$A6)</f>
        <v>56987.75</v>
      </c>
      <c r="E6">
        <f>SUMIFS(Monthly!$D:$D,Monthly!$A:$A,E$1,Monthly!$B:$B,$A6)</f>
        <v>44261.08</v>
      </c>
      <c r="F6" t="s">
        <v>19</v>
      </c>
    </row>
    <row r="7" spans="1:6" x14ac:dyDescent="0.3">
      <c r="A7">
        <v>6</v>
      </c>
      <c r="B7">
        <f>SUMIFS(Monthly!$D:$D,Monthly!$A:$A,B$1,Monthly!$B:$B,$A7)</f>
        <v>34595.14</v>
      </c>
      <c r="C7">
        <f>SUMIFS(Monthly!$D:$D,Monthly!$A:$A,C$1,Monthly!$B:$B,$A7)</f>
        <v>24797.31</v>
      </c>
      <c r="D7">
        <f>SUMIFS(Monthly!$D:$D,Monthly!$A:$A,D$1,Monthly!$B:$B,$A7)</f>
        <v>40344.54</v>
      </c>
      <c r="E7">
        <f>SUMIFS(Monthly!$D:$D,Monthly!$A:$A,E$1,Monthly!$B:$B,$A7)</f>
        <v>52981.73</v>
      </c>
      <c r="F7" t="s">
        <v>20</v>
      </c>
    </row>
    <row r="8" spans="1:6" x14ac:dyDescent="0.3">
      <c r="A8">
        <v>7</v>
      </c>
      <c r="B8">
        <f>SUMIFS(Monthly!$D:$D,Monthly!$A:$A,B$1,Monthly!$B:$B,$A8)</f>
        <v>33946.370000000003</v>
      </c>
      <c r="C8">
        <f>SUMIFS(Monthly!$D:$D,Monthly!$A:$A,C$1,Monthly!$B:$B,$A8)</f>
        <v>28765.32</v>
      </c>
      <c r="D8">
        <f>SUMIFS(Monthly!$D:$D,Monthly!$A:$A,D$1,Monthly!$B:$B,$A8)</f>
        <v>39261.99</v>
      </c>
      <c r="E8">
        <f>SUMIFS(Monthly!$D:$D,Monthly!$A:$A,E$1,Monthly!$B:$B,$A8)</f>
        <v>45264.43</v>
      </c>
      <c r="F8" t="s">
        <v>21</v>
      </c>
    </row>
    <row r="9" spans="1:6" x14ac:dyDescent="0.3">
      <c r="A9">
        <v>8</v>
      </c>
      <c r="B9">
        <f>SUMIFS(Monthly!$D:$D,Monthly!$A:$A,B$1,Monthly!$B:$B,$A9)</f>
        <v>27909.47</v>
      </c>
      <c r="C9">
        <f>SUMIFS(Monthly!$D:$D,Monthly!$A:$A,C$1,Monthly!$B:$B,$A9)</f>
        <v>36898.32</v>
      </c>
      <c r="D9">
        <f>SUMIFS(Monthly!$D:$D,Monthly!$A:$A,D$1,Monthly!$B:$B,$A9)</f>
        <v>31115.35</v>
      </c>
      <c r="E9">
        <f>SUMIFS(Monthly!$D:$D,Monthly!$A:$A,E$1,Monthly!$B:$B,$A9)</f>
        <v>63120.85</v>
      </c>
      <c r="F9" t="s">
        <v>22</v>
      </c>
    </row>
    <row r="10" spans="1:6" x14ac:dyDescent="0.3">
      <c r="A10">
        <v>9</v>
      </c>
      <c r="B10">
        <f>SUMIFS(Monthly!$D:$D,Monthly!$A:$A,B$1,Monthly!$B:$B,$A10)</f>
        <v>81777.34</v>
      </c>
      <c r="C10">
        <f>SUMIFS(Monthly!$D:$D,Monthly!$A:$A,C$1,Monthly!$B:$B,$A10)</f>
        <v>64595.87</v>
      </c>
      <c r="D10">
        <f>SUMIFS(Monthly!$D:$D,Monthly!$A:$A,D$1,Monthly!$B:$B,$A10)</f>
        <v>73410.09</v>
      </c>
      <c r="E10">
        <f>SUMIFS(Monthly!$D:$D,Monthly!$A:$A,E$1,Monthly!$B:$B,$A10)</f>
        <v>87866.66</v>
      </c>
      <c r="F10" t="s">
        <v>23</v>
      </c>
    </row>
    <row r="11" spans="1:6" x14ac:dyDescent="0.3">
      <c r="A11">
        <v>10</v>
      </c>
      <c r="B11">
        <f>SUMIFS(Monthly!$D:$D,Monthly!$A:$A,B$1,Monthly!$B:$B,$A11)</f>
        <v>31453.37</v>
      </c>
      <c r="C11">
        <f>SUMIFS(Monthly!$D:$D,Monthly!$A:$A,C$1,Monthly!$B:$B,$A11)</f>
        <v>31404.9</v>
      </c>
      <c r="D11">
        <f>SUMIFS(Monthly!$D:$D,Monthly!$A:$A,D$1,Monthly!$B:$B,$A11)</f>
        <v>59687.8</v>
      </c>
      <c r="E11">
        <f>SUMIFS(Monthly!$D:$D,Monthly!$A:$A,E$1,Monthly!$B:$B,$A11)</f>
        <v>77776.960000000006</v>
      </c>
      <c r="F11" t="s">
        <v>24</v>
      </c>
    </row>
    <row r="12" spans="1:6" x14ac:dyDescent="0.3">
      <c r="A12">
        <v>11</v>
      </c>
      <c r="B12">
        <f>SUMIFS(Monthly!$D:$D,Monthly!$A:$A,B$1,Monthly!$B:$B,$A12)</f>
        <v>78628.740000000005</v>
      </c>
      <c r="C12">
        <f>SUMIFS(Monthly!$D:$D,Monthly!$A:$A,C$1,Monthly!$B:$B,$A12)</f>
        <v>75972.509999999995</v>
      </c>
      <c r="D12">
        <f>SUMIFS(Monthly!$D:$D,Monthly!$A:$A,D$1,Monthly!$B:$B,$A12)</f>
        <v>79412.03</v>
      </c>
      <c r="E12">
        <f>SUMIFS(Monthly!$D:$D,Monthly!$A:$A,E$1,Monthly!$B:$B,$A12)</f>
        <v>118447.81</v>
      </c>
      <c r="F12" t="s">
        <v>25</v>
      </c>
    </row>
    <row r="13" spans="1:6" x14ac:dyDescent="0.3">
      <c r="A13">
        <v>12</v>
      </c>
      <c r="B13">
        <f>SUMIFS(Monthly!$D:$D,Monthly!$A:$A,B$1,Monthly!$B:$B,$A13)</f>
        <v>69545.64</v>
      </c>
      <c r="C13">
        <f>SUMIFS(Monthly!$D:$D,Monthly!$A:$A,C$1,Monthly!$B:$B,$A13)</f>
        <v>74919.520000000004</v>
      </c>
      <c r="D13">
        <f>SUMIFS(Monthly!$D:$D,Monthly!$A:$A,D$1,Monthly!$B:$B,$A13)</f>
        <v>96999.07</v>
      </c>
      <c r="E13">
        <f>SUMIFS(Monthly!$D:$D,Monthly!$A:$A,E$1,Monthly!$B:$B,$A13)</f>
        <v>83829.31</v>
      </c>
      <c r="F13" t="s">
        <v>26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0CF7-06A7-442E-BDE8-1CA01BBAC58B}">
  <dimension ref="A1:F11"/>
  <sheetViews>
    <sheetView workbookViewId="0">
      <selection activeCell="M17" sqref="M17"/>
    </sheetView>
  </sheetViews>
  <sheetFormatPr defaultRowHeight="14.4" x14ac:dyDescent="0.3"/>
  <cols>
    <col min="1" max="1" width="8.33203125" bestFit="1" customWidth="1"/>
    <col min="2" max="2" width="12.21875" bestFit="1" customWidth="1"/>
    <col min="3" max="3" width="18.21875" customWidth="1"/>
    <col min="4" max="4" width="19.6640625" bestFit="1" customWidth="1"/>
    <col min="5" max="5" width="13.21875" bestFit="1" customWidth="1"/>
    <col min="6" max="6" width="16.5546875" bestFit="1" customWidth="1"/>
  </cols>
  <sheetData>
    <row r="1" spans="1:6" x14ac:dyDescent="0.3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s="5" t="s">
        <v>28</v>
      </c>
      <c r="B2">
        <v>725457.93</v>
      </c>
      <c r="C2">
        <v>108418.79</v>
      </c>
      <c r="D2">
        <v>14.94</v>
      </c>
      <c r="E2">
        <v>1611</v>
      </c>
      <c r="F2">
        <v>450.32</v>
      </c>
    </row>
    <row r="3" spans="1:6" x14ac:dyDescent="0.3">
      <c r="A3" s="5" t="s">
        <v>29</v>
      </c>
      <c r="B3">
        <v>678781.36</v>
      </c>
      <c r="C3">
        <v>91522.84</v>
      </c>
      <c r="D3">
        <v>13.48</v>
      </c>
      <c r="E3">
        <v>1401</v>
      </c>
      <c r="F3">
        <v>484.5</v>
      </c>
    </row>
    <row r="4" spans="1:6" x14ac:dyDescent="0.3">
      <c r="A4" s="5" t="s">
        <v>30</v>
      </c>
      <c r="B4">
        <v>501239.88</v>
      </c>
      <c r="C4">
        <v>39706.449999999997</v>
      </c>
      <c r="D4">
        <v>7.92</v>
      </c>
      <c r="E4">
        <v>1175</v>
      </c>
      <c r="F4">
        <v>426.59</v>
      </c>
    </row>
    <row r="5" spans="1:6" x14ac:dyDescent="0.3">
      <c r="A5" s="5" t="s">
        <v>31</v>
      </c>
      <c r="B5">
        <v>391721.9</v>
      </c>
      <c r="C5">
        <v>46749.71</v>
      </c>
      <c r="D5">
        <v>11.93</v>
      </c>
      <c r="E5">
        <v>822</v>
      </c>
      <c r="F5">
        <v>476.55</v>
      </c>
    </row>
    <row r="7" spans="1:6" ht="15" thickBot="1" x14ac:dyDescent="0.35">
      <c r="A7" s="11" t="s">
        <v>27</v>
      </c>
      <c r="B7" s="12" t="s">
        <v>0</v>
      </c>
      <c r="C7" s="12" t="s">
        <v>2</v>
      </c>
    </row>
    <row r="8" spans="1:6" ht="15" thickTop="1" x14ac:dyDescent="0.3">
      <c r="A8" s="37" t="s">
        <v>28</v>
      </c>
      <c r="B8" s="13">
        <v>725457.93</v>
      </c>
      <c r="C8" s="13">
        <v>14.94</v>
      </c>
    </row>
    <row r="9" spans="1:6" x14ac:dyDescent="0.3">
      <c r="A9" s="38" t="s">
        <v>29</v>
      </c>
      <c r="B9" s="14">
        <v>678781.36</v>
      </c>
      <c r="C9" s="14">
        <v>13.48</v>
      </c>
    </row>
    <row r="10" spans="1:6" x14ac:dyDescent="0.3">
      <c r="A10" s="37" t="s">
        <v>30</v>
      </c>
      <c r="B10" s="13">
        <v>501239.88</v>
      </c>
      <c r="C10" s="13">
        <v>7.92</v>
      </c>
    </row>
    <row r="11" spans="1:6" x14ac:dyDescent="0.3">
      <c r="A11" s="39" t="s">
        <v>31</v>
      </c>
      <c r="B11" s="15">
        <v>391721.9</v>
      </c>
      <c r="C11" s="15">
        <v>11.93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0221-CA31-46C8-B510-27B4412E7B25}">
  <dimension ref="A1:K24"/>
  <sheetViews>
    <sheetView topLeftCell="A31" workbookViewId="0">
      <selection activeCell="L36" sqref="L36"/>
    </sheetView>
  </sheetViews>
  <sheetFormatPr defaultRowHeight="14.4" x14ac:dyDescent="0.3"/>
  <cols>
    <col min="1" max="1" width="13.109375" bestFit="1" customWidth="1"/>
    <col min="2" max="2" width="13.33203125" bestFit="1" customWidth="1"/>
    <col min="3" max="3" width="12.21875" bestFit="1" customWidth="1"/>
    <col min="4" max="4" width="12.44140625" bestFit="1" customWidth="1"/>
    <col min="5" max="5" width="19.6640625" bestFit="1" customWidth="1"/>
    <col min="6" max="6" width="13.21875" bestFit="1" customWidth="1"/>
    <col min="7" max="7" width="16.5546875" bestFit="1" customWidth="1"/>
    <col min="10" max="10" width="13.109375" bestFit="1" customWidth="1"/>
    <col min="11" max="11" width="17.44140625" bestFit="1" customWidth="1"/>
  </cols>
  <sheetData>
    <row r="1" spans="1:11" x14ac:dyDescent="0.3">
      <c r="A1" t="s">
        <v>32</v>
      </c>
      <c r="B1" t="s">
        <v>33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J1" t="s">
        <v>144</v>
      </c>
      <c r="K1" t="s">
        <v>136</v>
      </c>
    </row>
    <row r="2" spans="1:11" x14ac:dyDescent="0.3">
      <c r="A2" s="5" t="s">
        <v>38</v>
      </c>
      <c r="B2" s="5" t="s">
        <v>52</v>
      </c>
      <c r="C2">
        <v>12486.3</v>
      </c>
      <c r="D2">
        <v>5546.18</v>
      </c>
      <c r="E2">
        <v>44.42</v>
      </c>
      <c r="F2">
        <v>346</v>
      </c>
      <c r="G2">
        <v>36.090000000000003</v>
      </c>
      <c r="J2" t="s">
        <v>34</v>
      </c>
      <c r="K2">
        <f>SUMIF($A:$A,"Technology",$D:$D)</f>
        <v>145455.66</v>
      </c>
    </row>
    <row r="3" spans="1:11" x14ac:dyDescent="0.3">
      <c r="A3" s="5" t="s">
        <v>38</v>
      </c>
      <c r="B3" s="5" t="s">
        <v>48</v>
      </c>
      <c r="C3">
        <v>78479.240000000005</v>
      </c>
      <c r="D3">
        <v>34053.339999999997</v>
      </c>
      <c r="E3">
        <v>43.39</v>
      </c>
      <c r="F3">
        <v>1191</v>
      </c>
      <c r="G3">
        <v>65.89</v>
      </c>
      <c r="J3" t="s">
        <v>38</v>
      </c>
      <c r="K3">
        <f>SUMIF($A:$A,"Office Supplies",$D:$D)</f>
        <v>122490.87999999999</v>
      </c>
    </row>
    <row r="4" spans="1:11" x14ac:dyDescent="0.3">
      <c r="A4" s="5" t="s">
        <v>38</v>
      </c>
      <c r="B4" s="5" t="s">
        <v>51</v>
      </c>
      <c r="C4">
        <v>16476.38</v>
      </c>
      <c r="D4">
        <v>6964.1</v>
      </c>
      <c r="E4">
        <v>42.27</v>
      </c>
      <c r="F4">
        <v>249</v>
      </c>
      <c r="G4">
        <v>66.17</v>
      </c>
      <c r="J4" t="s">
        <v>36</v>
      </c>
      <c r="K4">
        <f>SUMIF($A:$A,"Furniture",$D:$D)</f>
        <v>18451.250000000004</v>
      </c>
    </row>
    <row r="5" spans="1:11" x14ac:dyDescent="0.3">
      <c r="A5" s="5" t="s">
        <v>34</v>
      </c>
      <c r="B5" s="5" t="s">
        <v>44</v>
      </c>
      <c r="C5">
        <v>149528.01</v>
      </c>
      <c r="D5">
        <v>55617.9</v>
      </c>
      <c r="E5">
        <v>37.200000000000003</v>
      </c>
      <c r="F5">
        <v>68</v>
      </c>
      <c r="G5">
        <v>2198.94</v>
      </c>
    </row>
    <row r="6" spans="1:11" x14ac:dyDescent="0.3">
      <c r="A6" s="5" t="s">
        <v>38</v>
      </c>
      <c r="B6" s="5" t="s">
        <v>53</v>
      </c>
      <c r="C6">
        <v>3024.25</v>
      </c>
      <c r="D6">
        <v>949.53</v>
      </c>
      <c r="E6">
        <v>31.4</v>
      </c>
      <c r="F6">
        <v>215</v>
      </c>
      <c r="G6">
        <v>14.07</v>
      </c>
    </row>
    <row r="7" spans="1:11" x14ac:dyDescent="0.3">
      <c r="A7" s="5" t="s">
        <v>34</v>
      </c>
      <c r="B7" s="5" t="s">
        <v>43</v>
      </c>
      <c r="C7">
        <v>167380.31</v>
      </c>
      <c r="D7">
        <v>41936.78</v>
      </c>
      <c r="E7">
        <v>25.05</v>
      </c>
      <c r="F7">
        <v>718</v>
      </c>
      <c r="G7">
        <v>233.12</v>
      </c>
      <c r="J7" s="16" t="s">
        <v>33</v>
      </c>
      <c r="K7" s="16" t="s">
        <v>2</v>
      </c>
    </row>
    <row r="8" spans="1:11" x14ac:dyDescent="0.3">
      <c r="A8" s="5" t="s">
        <v>38</v>
      </c>
      <c r="B8" s="5" t="s">
        <v>50</v>
      </c>
      <c r="C8">
        <v>27118.799999999999</v>
      </c>
      <c r="D8">
        <v>6527.96</v>
      </c>
      <c r="E8">
        <v>24.07</v>
      </c>
      <c r="F8">
        <v>731</v>
      </c>
      <c r="G8">
        <v>37.1</v>
      </c>
      <c r="J8" s="40" t="s">
        <v>52</v>
      </c>
      <c r="K8" s="17">
        <v>44.42</v>
      </c>
    </row>
    <row r="9" spans="1:11" x14ac:dyDescent="0.3">
      <c r="A9" s="5" t="s">
        <v>38</v>
      </c>
      <c r="B9" s="5" t="s">
        <v>46</v>
      </c>
      <c r="C9">
        <v>107532.14</v>
      </c>
      <c r="D9">
        <v>18138.07</v>
      </c>
      <c r="E9">
        <v>16.87</v>
      </c>
      <c r="F9">
        <v>451</v>
      </c>
      <c r="G9">
        <v>238.43</v>
      </c>
      <c r="J9" s="41" t="s">
        <v>48</v>
      </c>
      <c r="K9" s="18">
        <v>43.39</v>
      </c>
    </row>
    <row r="10" spans="1:11" x14ac:dyDescent="0.3">
      <c r="A10" s="5" t="s">
        <v>38</v>
      </c>
      <c r="B10" s="5" t="s">
        <v>41</v>
      </c>
      <c r="C10">
        <v>203412.77</v>
      </c>
      <c r="D10">
        <v>30221.64</v>
      </c>
      <c r="E10">
        <v>14.86</v>
      </c>
      <c r="F10">
        <v>1316</v>
      </c>
      <c r="G10">
        <v>154.57</v>
      </c>
      <c r="J10" s="40" t="s">
        <v>51</v>
      </c>
      <c r="K10" s="17">
        <v>42.27</v>
      </c>
    </row>
    <row r="11" spans="1:11" x14ac:dyDescent="0.3">
      <c r="A11" s="5" t="s">
        <v>36</v>
      </c>
      <c r="B11" s="5" t="s">
        <v>47</v>
      </c>
      <c r="C11">
        <v>91705.12</v>
      </c>
      <c r="D11">
        <v>13059.25</v>
      </c>
      <c r="E11">
        <v>14.24</v>
      </c>
      <c r="F11">
        <v>877</v>
      </c>
      <c r="G11">
        <v>104.57</v>
      </c>
      <c r="J11" s="41" t="s">
        <v>44</v>
      </c>
      <c r="K11" s="18">
        <v>37.200000000000003</v>
      </c>
    </row>
    <row r="12" spans="1:11" x14ac:dyDescent="0.3">
      <c r="A12" s="5" t="s">
        <v>34</v>
      </c>
      <c r="B12" s="5" t="s">
        <v>35</v>
      </c>
      <c r="C12">
        <v>330007.09999999998</v>
      </c>
      <c r="D12">
        <v>44516.25</v>
      </c>
      <c r="E12">
        <v>13.49</v>
      </c>
      <c r="F12">
        <v>814</v>
      </c>
      <c r="G12">
        <v>405.41</v>
      </c>
      <c r="J12" s="40" t="s">
        <v>53</v>
      </c>
      <c r="K12" s="17">
        <v>31.4</v>
      </c>
    </row>
    <row r="13" spans="1:11" x14ac:dyDescent="0.3">
      <c r="A13" s="5" t="s">
        <v>38</v>
      </c>
      <c r="B13" s="5" t="s">
        <v>39</v>
      </c>
      <c r="C13">
        <v>223843.59</v>
      </c>
      <c r="D13">
        <v>21279.05</v>
      </c>
      <c r="E13">
        <v>9.51</v>
      </c>
      <c r="F13">
        <v>777</v>
      </c>
      <c r="G13">
        <v>288.08999999999997</v>
      </c>
      <c r="J13" s="41" t="s">
        <v>43</v>
      </c>
      <c r="K13" s="18">
        <v>25.05</v>
      </c>
    </row>
    <row r="14" spans="1:11" x14ac:dyDescent="0.3">
      <c r="A14" s="5" t="s">
        <v>36</v>
      </c>
      <c r="B14" s="5" t="s">
        <v>37</v>
      </c>
      <c r="C14">
        <v>328449.13</v>
      </c>
      <c r="D14">
        <v>26590.15</v>
      </c>
      <c r="E14">
        <v>8.1</v>
      </c>
      <c r="F14">
        <v>576</v>
      </c>
      <c r="G14">
        <v>570.22</v>
      </c>
      <c r="J14" s="40" t="s">
        <v>50</v>
      </c>
      <c r="K14" s="17">
        <v>24.07</v>
      </c>
    </row>
    <row r="15" spans="1:11" x14ac:dyDescent="0.3">
      <c r="A15" s="5" t="s">
        <v>34</v>
      </c>
      <c r="B15" s="5" t="s">
        <v>42</v>
      </c>
      <c r="C15">
        <v>189238.68</v>
      </c>
      <c r="D15">
        <v>3384.73</v>
      </c>
      <c r="E15">
        <v>1.79</v>
      </c>
      <c r="F15">
        <v>112</v>
      </c>
      <c r="G15">
        <v>1689.63</v>
      </c>
      <c r="J15" s="41" t="s">
        <v>46</v>
      </c>
      <c r="K15" s="18">
        <v>16.87</v>
      </c>
    </row>
    <row r="16" spans="1:11" x14ac:dyDescent="0.3">
      <c r="A16" s="5" t="s">
        <v>38</v>
      </c>
      <c r="B16" s="5" t="s">
        <v>49</v>
      </c>
      <c r="C16">
        <v>46673.52</v>
      </c>
      <c r="D16">
        <v>-1188.99</v>
      </c>
      <c r="E16">
        <v>-2.5499999999999998</v>
      </c>
      <c r="F16">
        <v>187</v>
      </c>
      <c r="G16">
        <v>249.59</v>
      </c>
      <c r="J16" s="40" t="s">
        <v>41</v>
      </c>
      <c r="K16" s="17">
        <v>14.86</v>
      </c>
    </row>
    <row r="17" spans="1:11" x14ac:dyDescent="0.3">
      <c r="A17" s="5" t="s">
        <v>36</v>
      </c>
      <c r="B17" s="5" t="s">
        <v>45</v>
      </c>
      <c r="C17">
        <v>114880.05</v>
      </c>
      <c r="D17">
        <v>-3472.56</v>
      </c>
      <c r="E17">
        <v>-3.02</v>
      </c>
      <c r="F17">
        <v>224</v>
      </c>
      <c r="G17">
        <v>512.86</v>
      </c>
      <c r="J17" s="41" t="s">
        <v>47</v>
      </c>
      <c r="K17" s="18">
        <v>14.24</v>
      </c>
    </row>
    <row r="18" spans="1:11" x14ac:dyDescent="0.3">
      <c r="A18" s="5" t="s">
        <v>36</v>
      </c>
      <c r="B18" s="5" t="s">
        <v>40</v>
      </c>
      <c r="C18">
        <v>206965.68</v>
      </c>
      <c r="D18">
        <v>-17725.59</v>
      </c>
      <c r="E18">
        <v>-8.56</v>
      </c>
      <c r="F18">
        <v>307</v>
      </c>
      <c r="G18">
        <v>674.16</v>
      </c>
      <c r="J18" s="40" t="s">
        <v>35</v>
      </c>
      <c r="K18" s="17">
        <v>13.49</v>
      </c>
    </row>
    <row r="19" spans="1:11" x14ac:dyDescent="0.3">
      <c r="J19" s="41" t="s">
        <v>39</v>
      </c>
      <c r="K19" s="18">
        <v>9.51</v>
      </c>
    </row>
    <row r="20" spans="1:11" x14ac:dyDescent="0.3">
      <c r="J20" s="40" t="s">
        <v>37</v>
      </c>
      <c r="K20" s="17">
        <v>8.1</v>
      </c>
    </row>
    <row r="21" spans="1:11" x14ac:dyDescent="0.3">
      <c r="J21" s="41" t="s">
        <v>42</v>
      </c>
      <c r="K21" s="18">
        <v>1.79</v>
      </c>
    </row>
    <row r="22" spans="1:11" x14ac:dyDescent="0.3">
      <c r="J22" s="40" t="s">
        <v>49</v>
      </c>
      <c r="K22" s="17">
        <v>-2.5499999999999998</v>
      </c>
    </row>
    <row r="23" spans="1:11" x14ac:dyDescent="0.3">
      <c r="J23" s="41" t="s">
        <v>45</v>
      </c>
      <c r="K23" s="18">
        <v>-3.02</v>
      </c>
    </row>
    <row r="24" spans="1:11" x14ac:dyDescent="0.3">
      <c r="J24" s="40" t="s">
        <v>40</v>
      </c>
      <c r="K24" s="17">
        <v>-8.56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9C69-755F-42D8-9B5C-BE059347302E}">
  <dimension ref="A1:I11"/>
  <sheetViews>
    <sheetView topLeftCell="A16" workbookViewId="0">
      <selection activeCell="P39" sqref="P39"/>
    </sheetView>
  </sheetViews>
  <sheetFormatPr defaultRowHeight="14.4" x14ac:dyDescent="0.3"/>
  <cols>
    <col min="1" max="1" width="65.109375" bestFit="1" customWidth="1"/>
    <col min="2" max="2" width="13.109375" bestFit="1" customWidth="1"/>
    <col min="3" max="3" width="13.33203125" bestFit="1" customWidth="1"/>
    <col min="4" max="4" width="12.21875" bestFit="1" customWidth="1"/>
    <col min="5" max="5" width="12.44140625" bestFit="1" customWidth="1"/>
    <col min="6" max="6" width="14.77734375" bestFit="1" customWidth="1"/>
    <col min="8" max="8" width="19.109375" bestFit="1" customWidth="1"/>
    <col min="9" max="9" width="10.21875" bestFit="1" customWidth="1"/>
  </cols>
  <sheetData>
    <row r="1" spans="1:9" x14ac:dyDescent="0.3">
      <c r="A1" t="s">
        <v>54</v>
      </c>
      <c r="B1" t="s">
        <v>32</v>
      </c>
      <c r="C1" t="s">
        <v>33</v>
      </c>
      <c r="D1" t="s">
        <v>0</v>
      </c>
      <c r="E1" t="s">
        <v>1</v>
      </c>
      <c r="F1" t="s">
        <v>5</v>
      </c>
      <c r="H1" s="1" t="s">
        <v>54</v>
      </c>
      <c r="I1" s="2" t="s">
        <v>1</v>
      </c>
    </row>
    <row r="2" spans="1:9" x14ac:dyDescent="0.3">
      <c r="A2" s="5" t="s">
        <v>55</v>
      </c>
      <c r="B2" s="5" t="s">
        <v>34</v>
      </c>
      <c r="C2" s="5" t="s">
        <v>44</v>
      </c>
      <c r="D2">
        <v>61599.83</v>
      </c>
      <c r="E2">
        <v>25199.94</v>
      </c>
      <c r="F2">
        <v>20</v>
      </c>
      <c r="H2" s="42" t="s">
        <v>146</v>
      </c>
      <c r="I2" s="3">
        <v>25199.94</v>
      </c>
    </row>
    <row r="3" spans="1:9" x14ac:dyDescent="0.3">
      <c r="A3" s="5" t="s">
        <v>56</v>
      </c>
      <c r="B3" s="5" t="s">
        <v>38</v>
      </c>
      <c r="C3" s="5" t="s">
        <v>41</v>
      </c>
      <c r="D3">
        <v>27453.38</v>
      </c>
      <c r="E3">
        <v>7753.06</v>
      </c>
      <c r="F3">
        <v>31</v>
      </c>
      <c r="H3" s="43" t="s">
        <v>147</v>
      </c>
      <c r="I3" s="4">
        <v>7753.06</v>
      </c>
    </row>
    <row r="4" spans="1:9" x14ac:dyDescent="0.3">
      <c r="A4" s="5" t="s">
        <v>57</v>
      </c>
      <c r="B4" s="5" t="s">
        <v>34</v>
      </c>
      <c r="C4" s="5" t="s">
        <v>42</v>
      </c>
      <c r="D4">
        <v>22638.48</v>
      </c>
      <c r="E4">
        <v>-1811.08</v>
      </c>
      <c r="F4">
        <v>6</v>
      </c>
      <c r="H4" s="42" t="s">
        <v>148</v>
      </c>
      <c r="I4" s="3">
        <v>-1811.08</v>
      </c>
    </row>
    <row r="5" spans="1:9" x14ac:dyDescent="0.3">
      <c r="A5" s="5" t="s">
        <v>58</v>
      </c>
      <c r="B5" s="5" t="s">
        <v>36</v>
      </c>
      <c r="C5" s="5" t="s">
        <v>37</v>
      </c>
      <c r="D5">
        <v>21870.57</v>
      </c>
      <c r="E5">
        <v>0</v>
      </c>
      <c r="F5">
        <v>39</v>
      </c>
      <c r="H5" s="43" t="s">
        <v>149</v>
      </c>
      <c r="I5" s="4">
        <v>0</v>
      </c>
    </row>
    <row r="6" spans="1:9" x14ac:dyDescent="0.3">
      <c r="A6" s="5" t="s">
        <v>59</v>
      </c>
      <c r="B6" s="5" t="s">
        <v>38</v>
      </c>
      <c r="C6" s="5" t="s">
        <v>41</v>
      </c>
      <c r="D6">
        <v>19823.48</v>
      </c>
      <c r="E6">
        <v>2233.5</v>
      </c>
      <c r="F6">
        <v>37</v>
      </c>
      <c r="H6" s="42" t="s">
        <v>150</v>
      </c>
      <c r="I6" s="3">
        <v>2233.5</v>
      </c>
    </row>
    <row r="7" spans="1:9" x14ac:dyDescent="0.3">
      <c r="A7" s="5" t="s">
        <v>60</v>
      </c>
      <c r="B7" s="5" t="s">
        <v>38</v>
      </c>
      <c r="C7" s="5" t="s">
        <v>41</v>
      </c>
      <c r="D7">
        <v>19024.5</v>
      </c>
      <c r="E7">
        <v>760.98</v>
      </c>
      <c r="F7">
        <v>48</v>
      </c>
      <c r="H7" s="43" t="s">
        <v>151</v>
      </c>
      <c r="I7" s="4">
        <v>760.98</v>
      </c>
    </row>
    <row r="8" spans="1:9" x14ac:dyDescent="0.3">
      <c r="A8" s="5" t="s">
        <v>61</v>
      </c>
      <c r="B8" s="5" t="s">
        <v>34</v>
      </c>
      <c r="C8" s="5" t="s">
        <v>44</v>
      </c>
      <c r="D8">
        <v>18839.68</v>
      </c>
      <c r="E8">
        <v>6983.89</v>
      </c>
      <c r="F8">
        <v>38</v>
      </c>
      <c r="H8" s="42" t="s">
        <v>152</v>
      </c>
      <c r="I8" s="3">
        <v>6983.89</v>
      </c>
    </row>
    <row r="9" spans="1:9" x14ac:dyDescent="0.3">
      <c r="A9" s="5" t="s">
        <v>62</v>
      </c>
      <c r="B9" s="5" t="s">
        <v>34</v>
      </c>
      <c r="C9" s="5" t="s">
        <v>42</v>
      </c>
      <c r="D9">
        <v>18374.900000000001</v>
      </c>
      <c r="E9">
        <v>4094.98</v>
      </c>
      <c r="F9">
        <v>12</v>
      </c>
      <c r="H9" s="43" t="s">
        <v>153</v>
      </c>
      <c r="I9" s="4">
        <v>4094.98</v>
      </c>
    </row>
    <row r="10" spans="1:9" x14ac:dyDescent="0.3">
      <c r="A10" s="5" t="s">
        <v>63</v>
      </c>
      <c r="B10" s="5" t="s">
        <v>38</v>
      </c>
      <c r="C10" s="5" t="s">
        <v>41</v>
      </c>
      <c r="D10">
        <v>17965.07</v>
      </c>
      <c r="E10">
        <v>-1878.17</v>
      </c>
      <c r="F10">
        <v>27</v>
      </c>
      <c r="H10" s="42" t="s">
        <v>154</v>
      </c>
      <c r="I10" s="3">
        <v>-1878.17</v>
      </c>
    </row>
    <row r="11" spans="1:9" x14ac:dyDescent="0.3">
      <c r="A11" s="5" t="s">
        <v>64</v>
      </c>
      <c r="B11" s="5" t="s">
        <v>38</v>
      </c>
      <c r="C11" s="5" t="s">
        <v>49</v>
      </c>
      <c r="D11">
        <v>17030.310000000001</v>
      </c>
      <c r="E11">
        <v>-262</v>
      </c>
      <c r="F11">
        <v>11</v>
      </c>
      <c r="H11" s="43" t="s">
        <v>155</v>
      </c>
      <c r="I11" s="4">
        <v>-262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5623-32DB-41C6-BC92-607B9572FF5A}">
  <dimension ref="A1:F11"/>
  <sheetViews>
    <sheetView workbookViewId="0">
      <selection activeCell="E4" sqref="E4"/>
    </sheetView>
  </sheetViews>
  <sheetFormatPr defaultRowHeight="14.4" x14ac:dyDescent="0.3"/>
  <cols>
    <col min="1" max="1" width="57.33203125" bestFit="1" customWidth="1"/>
    <col min="2" max="2" width="13.109375" bestFit="1" customWidth="1"/>
    <col min="3" max="3" width="13.33203125" bestFit="1" customWidth="1"/>
    <col min="4" max="4" width="12.21875" bestFit="1" customWidth="1"/>
    <col min="5" max="5" width="12.44140625" bestFit="1" customWidth="1"/>
    <col min="6" max="6" width="14.77734375" bestFit="1" customWidth="1"/>
  </cols>
  <sheetData>
    <row r="1" spans="1:6" x14ac:dyDescent="0.3">
      <c r="A1" t="s">
        <v>54</v>
      </c>
      <c r="B1" t="s">
        <v>32</v>
      </c>
      <c r="C1" t="s">
        <v>33</v>
      </c>
      <c r="D1" t="s">
        <v>0</v>
      </c>
      <c r="E1" t="s">
        <v>1</v>
      </c>
      <c r="F1" t="s">
        <v>5</v>
      </c>
    </row>
    <row r="2" spans="1:6" x14ac:dyDescent="0.3">
      <c r="A2" s="5" t="s">
        <v>65</v>
      </c>
      <c r="B2" s="5" t="s">
        <v>34</v>
      </c>
      <c r="C2" s="5" t="s">
        <v>42</v>
      </c>
      <c r="D2">
        <v>11099.96</v>
      </c>
      <c r="E2">
        <v>-8879.9699999999993</v>
      </c>
      <c r="F2">
        <v>9</v>
      </c>
    </row>
    <row r="3" spans="1:6" x14ac:dyDescent="0.3">
      <c r="A3" s="5" t="s">
        <v>66</v>
      </c>
      <c r="B3" s="5" t="s">
        <v>34</v>
      </c>
      <c r="C3" s="5" t="s">
        <v>42</v>
      </c>
      <c r="D3">
        <v>16829.900000000001</v>
      </c>
      <c r="E3">
        <v>-4589.97</v>
      </c>
      <c r="F3">
        <v>18</v>
      </c>
    </row>
    <row r="4" spans="1:6" x14ac:dyDescent="0.3">
      <c r="A4" s="5" t="s">
        <v>67</v>
      </c>
      <c r="B4" s="5" t="s">
        <v>34</v>
      </c>
      <c r="C4" s="5" t="s">
        <v>42</v>
      </c>
      <c r="D4">
        <v>7999.98</v>
      </c>
      <c r="E4">
        <v>-3839.99</v>
      </c>
      <c r="F4">
        <v>4</v>
      </c>
    </row>
    <row r="5" spans="1:6" x14ac:dyDescent="0.3">
      <c r="A5" s="5" t="s">
        <v>68</v>
      </c>
      <c r="B5" s="5" t="s">
        <v>36</v>
      </c>
      <c r="C5" s="5" t="s">
        <v>40</v>
      </c>
      <c r="D5">
        <v>9917.64</v>
      </c>
      <c r="E5">
        <v>-2876.11</v>
      </c>
      <c r="F5">
        <v>27</v>
      </c>
    </row>
    <row r="6" spans="1:6" x14ac:dyDescent="0.3">
      <c r="A6" s="5" t="s">
        <v>69</v>
      </c>
      <c r="B6" s="5" t="s">
        <v>36</v>
      </c>
      <c r="C6" s="5" t="s">
        <v>40</v>
      </c>
      <c r="D6">
        <v>9544.7199999999993</v>
      </c>
      <c r="E6">
        <v>-1934.4</v>
      </c>
      <c r="F6">
        <v>33</v>
      </c>
    </row>
    <row r="7" spans="1:6" x14ac:dyDescent="0.3">
      <c r="A7" s="5" t="s">
        <v>63</v>
      </c>
      <c r="B7" s="5" t="s">
        <v>38</v>
      </c>
      <c r="C7" s="5" t="s">
        <v>41</v>
      </c>
      <c r="D7">
        <v>17965.07</v>
      </c>
      <c r="E7">
        <v>-1878.17</v>
      </c>
      <c r="F7">
        <v>27</v>
      </c>
    </row>
    <row r="8" spans="1:6" x14ac:dyDescent="0.3">
      <c r="A8" s="5" t="s">
        <v>57</v>
      </c>
      <c r="B8" s="5" t="s">
        <v>34</v>
      </c>
      <c r="C8" s="5" t="s">
        <v>42</v>
      </c>
      <c r="D8">
        <v>22638.48</v>
      </c>
      <c r="E8">
        <v>-1811.08</v>
      </c>
      <c r="F8">
        <v>6</v>
      </c>
    </row>
    <row r="9" spans="1:6" x14ac:dyDescent="0.3">
      <c r="A9" s="5" t="s">
        <v>70</v>
      </c>
      <c r="B9" s="5" t="s">
        <v>38</v>
      </c>
      <c r="C9" s="5" t="s">
        <v>49</v>
      </c>
      <c r="D9">
        <v>16656.21</v>
      </c>
      <c r="E9">
        <v>-1299.19</v>
      </c>
      <c r="F9">
        <v>22</v>
      </c>
    </row>
    <row r="10" spans="1:6" x14ac:dyDescent="0.3">
      <c r="A10" s="5" t="s">
        <v>71</v>
      </c>
      <c r="B10" s="5" t="s">
        <v>36</v>
      </c>
      <c r="C10" s="5" t="s">
        <v>40</v>
      </c>
      <c r="D10">
        <v>6518.76</v>
      </c>
      <c r="E10">
        <v>-1201.06</v>
      </c>
      <c r="F10">
        <v>19</v>
      </c>
    </row>
    <row r="11" spans="1:6" x14ac:dyDescent="0.3">
      <c r="A11" s="5" t="s">
        <v>72</v>
      </c>
      <c r="B11" s="5" t="s">
        <v>36</v>
      </c>
      <c r="C11" s="5" t="s">
        <v>40</v>
      </c>
      <c r="D11">
        <v>1706.26</v>
      </c>
      <c r="E11">
        <v>-1148.44</v>
      </c>
      <c r="F11">
        <v>15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7B2CE-DA82-4A82-8228-F504DDCCB2B0}">
  <dimension ref="A1:F4"/>
  <sheetViews>
    <sheetView workbookViewId="0">
      <selection activeCell="M12" sqref="M12"/>
    </sheetView>
  </sheetViews>
  <sheetFormatPr defaultRowHeight="14.4" x14ac:dyDescent="0.3"/>
  <cols>
    <col min="1" max="1" width="11.109375" bestFit="1" customWidth="1"/>
    <col min="2" max="2" width="12.21875" bestFit="1" customWidth="1"/>
    <col min="3" max="3" width="12.44140625" bestFit="1" customWidth="1"/>
    <col min="4" max="4" width="18" bestFit="1" customWidth="1"/>
    <col min="5" max="5" width="13.21875" bestFit="1" customWidth="1"/>
    <col min="6" max="6" width="16.5546875" bestFit="1" customWidth="1"/>
  </cols>
  <sheetData>
    <row r="1" spans="1:6" x14ac:dyDescent="0.3">
      <c r="A1" t="s">
        <v>73</v>
      </c>
      <c r="B1" t="s">
        <v>0</v>
      </c>
      <c r="C1" t="s">
        <v>1</v>
      </c>
      <c r="D1" t="s">
        <v>74</v>
      </c>
      <c r="E1" t="s">
        <v>3</v>
      </c>
      <c r="F1" t="s">
        <v>4</v>
      </c>
    </row>
    <row r="2" spans="1:6" x14ac:dyDescent="0.3">
      <c r="A2" s="5" t="s">
        <v>75</v>
      </c>
      <c r="B2">
        <v>1161401.3400000001</v>
      </c>
      <c r="C2">
        <v>134119.32999999999</v>
      </c>
      <c r="D2">
        <v>11.55</v>
      </c>
      <c r="E2">
        <v>2586</v>
      </c>
      <c r="F2">
        <v>449.11</v>
      </c>
    </row>
    <row r="3" spans="1:6" x14ac:dyDescent="0.3">
      <c r="A3" s="5" t="s">
        <v>76</v>
      </c>
      <c r="B3">
        <v>706146.44</v>
      </c>
      <c r="C3">
        <v>91979.45</v>
      </c>
      <c r="D3">
        <v>13.03</v>
      </c>
      <c r="E3">
        <v>1514</v>
      </c>
      <c r="F3">
        <v>466.41</v>
      </c>
    </row>
    <row r="4" spans="1:6" x14ac:dyDescent="0.3">
      <c r="A4" s="5" t="s">
        <v>77</v>
      </c>
      <c r="B4">
        <v>429653.29</v>
      </c>
      <c r="C4">
        <v>60299.01</v>
      </c>
      <c r="D4">
        <v>14.03</v>
      </c>
      <c r="E4">
        <v>909</v>
      </c>
      <c r="F4">
        <v>472.67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5D12-E5CA-456A-A1E8-848146BC37C4}">
  <dimension ref="A1:F5"/>
  <sheetViews>
    <sheetView workbookViewId="0">
      <selection activeCell="F11" sqref="F11"/>
    </sheetView>
  </sheetViews>
  <sheetFormatPr defaultRowHeight="14.4" x14ac:dyDescent="0.3"/>
  <cols>
    <col min="1" max="1" width="13.109375" bestFit="1" customWidth="1"/>
    <col min="2" max="2" width="12.21875" bestFit="1" customWidth="1"/>
    <col min="3" max="3" width="12.44140625" bestFit="1" customWidth="1"/>
    <col min="4" max="4" width="18" bestFit="1" customWidth="1"/>
    <col min="5" max="5" width="12.33203125" bestFit="1" customWidth="1"/>
    <col min="6" max="6" width="16.5546875" bestFit="1" customWidth="1"/>
  </cols>
  <sheetData>
    <row r="1" spans="1:6" x14ac:dyDescent="0.3">
      <c r="A1" t="s">
        <v>78</v>
      </c>
      <c r="B1" t="s">
        <v>0</v>
      </c>
      <c r="C1" t="s">
        <v>1</v>
      </c>
      <c r="D1" t="s">
        <v>74</v>
      </c>
      <c r="E1" t="s">
        <v>79</v>
      </c>
      <c r="F1" t="s">
        <v>4</v>
      </c>
    </row>
    <row r="2" spans="1:6" x14ac:dyDescent="0.3">
      <c r="A2" s="5" t="s">
        <v>80</v>
      </c>
      <c r="B2">
        <v>1358216.08</v>
      </c>
      <c r="C2">
        <v>164089.45000000001</v>
      </c>
      <c r="D2">
        <v>12.08</v>
      </c>
      <c r="E2">
        <v>2994</v>
      </c>
      <c r="F2">
        <v>453.65</v>
      </c>
    </row>
    <row r="3" spans="1:6" x14ac:dyDescent="0.3">
      <c r="A3" s="5" t="s">
        <v>81</v>
      </c>
      <c r="B3">
        <v>459193.44</v>
      </c>
      <c r="C3">
        <v>57446.49</v>
      </c>
      <c r="D3">
        <v>12.51</v>
      </c>
      <c r="E3">
        <v>964</v>
      </c>
      <c r="F3">
        <v>476.34</v>
      </c>
    </row>
    <row r="4" spans="1:6" x14ac:dyDescent="0.3">
      <c r="A4" s="5" t="s">
        <v>82</v>
      </c>
      <c r="B4">
        <v>351428.43</v>
      </c>
      <c r="C4">
        <v>48969.95</v>
      </c>
      <c r="D4">
        <v>13.93</v>
      </c>
      <c r="E4">
        <v>787</v>
      </c>
      <c r="F4">
        <v>446.54</v>
      </c>
    </row>
    <row r="5" spans="1:6" x14ac:dyDescent="0.3">
      <c r="A5" s="5" t="s">
        <v>83</v>
      </c>
      <c r="B5">
        <v>128363.12</v>
      </c>
      <c r="C5">
        <v>15891.9</v>
      </c>
      <c r="D5">
        <v>12.38</v>
      </c>
      <c r="E5">
        <v>264</v>
      </c>
      <c r="F5">
        <v>486.22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4520-05D9-40F5-965F-0E302DFA53CB}">
  <dimension ref="A1:F50"/>
  <sheetViews>
    <sheetView topLeftCell="A11" workbookViewId="0">
      <selection sqref="A1:F50"/>
    </sheetView>
  </sheetViews>
  <sheetFormatPr defaultRowHeight="14.4" x14ac:dyDescent="0.3"/>
  <cols>
    <col min="1" max="1" width="16.77734375" bestFit="1" customWidth="1"/>
    <col min="2" max="2" width="12.21875" bestFit="1" customWidth="1"/>
    <col min="3" max="3" width="12.44140625" bestFit="1" customWidth="1"/>
    <col min="4" max="4" width="18" bestFit="1" customWidth="1"/>
    <col min="5" max="5" width="12.33203125" bestFit="1" customWidth="1"/>
    <col min="6" max="6" width="16.5546875" bestFit="1" customWidth="1"/>
  </cols>
  <sheetData>
    <row r="1" spans="1:6" x14ac:dyDescent="0.3">
      <c r="A1" t="s">
        <v>84</v>
      </c>
      <c r="B1" t="s">
        <v>0</v>
      </c>
      <c r="C1" t="s">
        <v>1</v>
      </c>
      <c r="D1" t="s">
        <v>74</v>
      </c>
      <c r="E1" t="s">
        <v>79</v>
      </c>
      <c r="F1" t="s">
        <v>4</v>
      </c>
    </row>
    <row r="2" spans="1:6" x14ac:dyDescent="0.3">
      <c r="A2" s="5" t="s">
        <v>85</v>
      </c>
      <c r="B2">
        <v>457687.68</v>
      </c>
      <c r="C2">
        <v>76381.600000000006</v>
      </c>
      <c r="D2">
        <v>16.690000000000001</v>
      </c>
      <c r="E2">
        <v>1021</v>
      </c>
      <c r="F2">
        <v>448.27</v>
      </c>
    </row>
    <row r="3" spans="1:6" x14ac:dyDescent="0.3">
      <c r="A3" s="5" t="s">
        <v>86</v>
      </c>
      <c r="B3">
        <v>310876.2</v>
      </c>
      <c r="C3">
        <v>74038.64</v>
      </c>
      <c r="D3">
        <v>23.82</v>
      </c>
      <c r="E3">
        <v>562</v>
      </c>
      <c r="F3">
        <v>553.16</v>
      </c>
    </row>
    <row r="4" spans="1:6" x14ac:dyDescent="0.3">
      <c r="A4" s="5" t="s">
        <v>87</v>
      </c>
      <c r="B4">
        <v>170187.98</v>
      </c>
      <c r="C4">
        <v>-25729.29</v>
      </c>
      <c r="D4">
        <v>-15.12</v>
      </c>
      <c r="E4">
        <v>487</v>
      </c>
      <c r="F4">
        <v>349.46</v>
      </c>
    </row>
    <row r="5" spans="1:6" x14ac:dyDescent="0.3">
      <c r="A5" s="5" t="s">
        <v>88</v>
      </c>
      <c r="B5">
        <v>138641.29</v>
      </c>
      <c r="C5">
        <v>33402.699999999997</v>
      </c>
      <c r="D5">
        <v>24.09</v>
      </c>
      <c r="E5">
        <v>256</v>
      </c>
      <c r="F5">
        <v>541.57000000000005</v>
      </c>
    </row>
    <row r="6" spans="1:6" x14ac:dyDescent="0.3">
      <c r="A6" s="5" t="s">
        <v>89</v>
      </c>
      <c r="B6">
        <v>116512.02</v>
      </c>
      <c r="C6">
        <v>-15560.04</v>
      </c>
      <c r="D6">
        <v>-13.35</v>
      </c>
      <c r="E6">
        <v>288</v>
      </c>
      <c r="F6">
        <v>404.56</v>
      </c>
    </row>
    <row r="7" spans="1:6" x14ac:dyDescent="0.3">
      <c r="A7" s="5" t="s">
        <v>90</v>
      </c>
      <c r="B7">
        <v>89473.73</v>
      </c>
      <c r="C7">
        <v>-3399.25</v>
      </c>
      <c r="D7">
        <v>-3.8</v>
      </c>
      <c r="E7">
        <v>200</v>
      </c>
      <c r="F7">
        <v>447.37</v>
      </c>
    </row>
    <row r="8" spans="1:6" x14ac:dyDescent="0.3">
      <c r="A8" s="5" t="s">
        <v>91</v>
      </c>
      <c r="B8">
        <v>80166.16</v>
      </c>
      <c r="C8">
        <v>-12607.89</v>
      </c>
      <c r="D8">
        <v>-15.73</v>
      </c>
      <c r="E8">
        <v>276</v>
      </c>
      <c r="F8">
        <v>290.45999999999998</v>
      </c>
    </row>
    <row r="9" spans="1:6" x14ac:dyDescent="0.3">
      <c r="A9" s="5" t="s">
        <v>92</v>
      </c>
      <c r="B9">
        <v>78258.210000000006</v>
      </c>
      <c r="C9">
        <v>-16971.37</v>
      </c>
      <c r="D9">
        <v>-21.69</v>
      </c>
      <c r="E9">
        <v>236</v>
      </c>
      <c r="F9">
        <v>331.6</v>
      </c>
    </row>
    <row r="10" spans="1:6" x14ac:dyDescent="0.3">
      <c r="A10" s="5" t="s">
        <v>93</v>
      </c>
      <c r="B10">
        <v>76269.61</v>
      </c>
      <c r="C10">
        <v>24463.15</v>
      </c>
      <c r="D10">
        <v>32.07</v>
      </c>
      <c r="E10">
        <v>117</v>
      </c>
      <c r="F10">
        <v>651.88</v>
      </c>
    </row>
    <row r="11" spans="1:6" x14ac:dyDescent="0.3">
      <c r="A11" s="5" t="s">
        <v>94</v>
      </c>
      <c r="B11">
        <v>70636.72</v>
      </c>
      <c r="C11">
        <v>18598</v>
      </c>
      <c r="D11">
        <v>26.33</v>
      </c>
      <c r="E11">
        <v>115</v>
      </c>
      <c r="F11">
        <v>614.23</v>
      </c>
    </row>
    <row r="12" spans="1:6" x14ac:dyDescent="0.3">
      <c r="A12" s="5" t="s">
        <v>95</v>
      </c>
      <c r="B12">
        <v>55603.09</v>
      </c>
      <c r="C12">
        <v>-7490.81</v>
      </c>
      <c r="D12">
        <v>-13.47</v>
      </c>
      <c r="E12">
        <v>136</v>
      </c>
      <c r="F12">
        <v>408.85</v>
      </c>
    </row>
    <row r="13" spans="1:6" x14ac:dyDescent="0.3">
      <c r="A13" s="5" t="s">
        <v>96</v>
      </c>
      <c r="B13">
        <v>53555.360000000001</v>
      </c>
      <c r="C13">
        <v>18382.97</v>
      </c>
      <c r="D13">
        <v>34.33</v>
      </c>
      <c r="E13">
        <v>73</v>
      </c>
      <c r="F13">
        <v>733.64</v>
      </c>
    </row>
    <row r="14" spans="1:6" x14ac:dyDescent="0.3">
      <c r="A14" s="5" t="s">
        <v>97</v>
      </c>
      <c r="B14">
        <v>49095.839999999997</v>
      </c>
      <c r="C14">
        <v>16250.08</v>
      </c>
      <c r="D14">
        <v>33.1</v>
      </c>
      <c r="E14">
        <v>91</v>
      </c>
      <c r="F14">
        <v>539.51</v>
      </c>
    </row>
    <row r="15" spans="1:6" x14ac:dyDescent="0.3">
      <c r="A15" s="5" t="s">
        <v>98</v>
      </c>
      <c r="B15">
        <v>36591.75</v>
      </c>
      <c r="C15">
        <v>11199.7</v>
      </c>
      <c r="D15">
        <v>30.61</v>
      </c>
      <c r="E15">
        <v>61</v>
      </c>
      <c r="F15">
        <v>599.86</v>
      </c>
    </row>
    <row r="16" spans="1:6" x14ac:dyDescent="0.3">
      <c r="A16" s="5" t="s">
        <v>99</v>
      </c>
      <c r="B16">
        <v>35764.32</v>
      </c>
      <c r="C16">
        <v>9772.91</v>
      </c>
      <c r="D16">
        <v>27.33</v>
      </c>
      <c r="E16">
        <v>61</v>
      </c>
      <c r="F16">
        <v>586.29999999999995</v>
      </c>
    </row>
    <row r="17" spans="1:6" x14ac:dyDescent="0.3">
      <c r="A17" s="5" t="s">
        <v>100</v>
      </c>
      <c r="B17">
        <v>35282.019999999997</v>
      </c>
      <c r="C17">
        <v>-3427.87</v>
      </c>
      <c r="D17">
        <v>-9.7200000000000006</v>
      </c>
      <c r="E17">
        <v>108</v>
      </c>
      <c r="F17">
        <v>326.69</v>
      </c>
    </row>
    <row r="18" spans="1:6" x14ac:dyDescent="0.3">
      <c r="A18" s="5" t="s">
        <v>101</v>
      </c>
      <c r="B18">
        <v>32114.61</v>
      </c>
      <c r="C18">
        <v>8401.7800000000007</v>
      </c>
      <c r="D18">
        <v>26.16</v>
      </c>
      <c r="E18">
        <v>53</v>
      </c>
      <c r="F18">
        <v>605.94000000000005</v>
      </c>
    </row>
    <row r="19" spans="1:6" x14ac:dyDescent="0.3">
      <c r="A19" s="5" t="s">
        <v>102</v>
      </c>
      <c r="B19">
        <v>32108.12</v>
      </c>
      <c r="C19">
        <v>-6527.86</v>
      </c>
      <c r="D19">
        <v>-20.329999999999998</v>
      </c>
      <c r="E19">
        <v>79</v>
      </c>
      <c r="F19">
        <v>406.43</v>
      </c>
    </row>
    <row r="20" spans="1:6" x14ac:dyDescent="0.3">
      <c r="A20" s="5" t="s">
        <v>103</v>
      </c>
      <c r="B20">
        <v>30661.919999999998</v>
      </c>
      <c r="C20">
        <v>-5341.66</v>
      </c>
      <c r="D20">
        <v>-17.420000000000002</v>
      </c>
      <c r="E20">
        <v>91</v>
      </c>
      <c r="F20">
        <v>336.94</v>
      </c>
    </row>
    <row r="21" spans="1:6" x14ac:dyDescent="0.3">
      <c r="A21" s="5" t="s">
        <v>104</v>
      </c>
      <c r="B21">
        <v>29863.15</v>
      </c>
      <c r="C21">
        <v>10823.22</v>
      </c>
      <c r="D21">
        <v>36.24</v>
      </c>
      <c r="E21">
        <v>44</v>
      </c>
      <c r="F21">
        <v>678.71</v>
      </c>
    </row>
    <row r="22" spans="1:6" x14ac:dyDescent="0.3">
      <c r="A22" s="5" t="s">
        <v>105</v>
      </c>
      <c r="B22">
        <v>28634.44</v>
      </c>
      <c r="C22">
        <v>6785.55</v>
      </c>
      <c r="D22">
        <v>23.7</v>
      </c>
      <c r="E22">
        <v>62</v>
      </c>
      <c r="F22">
        <v>461.85</v>
      </c>
    </row>
    <row r="23" spans="1:6" x14ac:dyDescent="0.3">
      <c r="A23" s="5" t="s">
        <v>106</v>
      </c>
      <c r="B23">
        <v>27451.07</v>
      </c>
      <c r="C23">
        <v>9977.3700000000008</v>
      </c>
      <c r="D23">
        <v>36.35</v>
      </c>
      <c r="E23">
        <v>44</v>
      </c>
      <c r="F23">
        <v>623.89</v>
      </c>
    </row>
    <row r="24" spans="1:6" x14ac:dyDescent="0.3">
      <c r="A24" s="5" t="s">
        <v>107</v>
      </c>
      <c r="B24">
        <v>23705.52</v>
      </c>
      <c r="C24">
        <v>7031.2</v>
      </c>
      <c r="D24">
        <v>29.66</v>
      </c>
      <c r="E24">
        <v>46</v>
      </c>
      <c r="F24">
        <v>515.34</v>
      </c>
    </row>
    <row r="25" spans="1:6" x14ac:dyDescent="0.3">
      <c r="A25" s="5" t="s">
        <v>108</v>
      </c>
      <c r="B25">
        <v>22627.96</v>
      </c>
      <c r="C25">
        <v>7285.64</v>
      </c>
      <c r="D25">
        <v>32.200000000000003</v>
      </c>
      <c r="E25">
        <v>25</v>
      </c>
      <c r="F25">
        <v>905.12</v>
      </c>
    </row>
    <row r="26" spans="1:6" x14ac:dyDescent="0.3">
      <c r="A26" s="5" t="s">
        <v>109</v>
      </c>
      <c r="B26">
        <v>22205.15</v>
      </c>
      <c r="C26">
        <v>6436.19</v>
      </c>
      <c r="D26">
        <v>28.99</v>
      </c>
      <c r="E26">
        <v>30</v>
      </c>
      <c r="F26">
        <v>740.17</v>
      </c>
    </row>
    <row r="27" spans="1:6" x14ac:dyDescent="0.3">
      <c r="A27" s="5" t="s">
        <v>110</v>
      </c>
      <c r="B27">
        <v>19683.39</v>
      </c>
      <c r="C27">
        <v>4853.9799999999996</v>
      </c>
      <c r="D27">
        <v>24.66</v>
      </c>
      <c r="E27">
        <v>34</v>
      </c>
      <c r="F27">
        <v>578.91999999999996</v>
      </c>
    </row>
    <row r="28" spans="1:6" x14ac:dyDescent="0.3">
      <c r="A28" s="5" t="s">
        <v>111</v>
      </c>
      <c r="B28">
        <v>19510.64</v>
      </c>
      <c r="C28">
        <v>5786.85</v>
      </c>
      <c r="D28">
        <v>29.66</v>
      </c>
      <c r="E28">
        <v>34</v>
      </c>
      <c r="F28">
        <v>573.84</v>
      </c>
    </row>
    <row r="29" spans="1:6" x14ac:dyDescent="0.3">
      <c r="A29" s="5" t="s">
        <v>112</v>
      </c>
      <c r="B29">
        <v>17431.14</v>
      </c>
      <c r="C29">
        <v>-1190.48</v>
      </c>
      <c r="D29">
        <v>-6.83</v>
      </c>
      <c r="E29">
        <v>56</v>
      </c>
      <c r="F29">
        <v>311.27</v>
      </c>
    </row>
    <row r="30" spans="1:6" x14ac:dyDescent="0.3">
      <c r="A30" s="5" t="s">
        <v>113</v>
      </c>
      <c r="B30">
        <v>16729.099999999999</v>
      </c>
      <c r="C30">
        <v>3316.76</v>
      </c>
      <c r="D30">
        <v>19.829999999999998</v>
      </c>
      <c r="E30">
        <v>23</v>
      </c>
      <c r="F30">
        <v>727.35</v>
      </c>
    </row>
    <row r="31" spans="1:6" x14ac:dyDescent="0.3">
      <c r="A31" s="5" t="s">
        <v>114</v>
      </c>
      <c r="B31">
        <v>13384.36</v>
      </c>
      <c r="C31">
        <v>3511.44</v>
      </c>
      <c r="D31">
        <v>26.24</v>
      </c>
      <c r="E31">
        <v>45</v>
      </c>
      <c r="F31">
        <v>297.43</v>
      </c>
    </row>
    <row r="32" spans="1:6" x14ac:dyDescent="0.3">
      <c r="A32" s="5" t="s">
        <v>115</v>
      </c>
      <c r="B32">
        <v>11678.13</v>
      </c>
      <c r="C32">
        <v>4008.65</v>
      </c>
      <c r="D32">
        <v>34.33</v>
      </c>
      <c r="E32">
        <v>27</v>
      </c>
      <c r="F32">
        <v>432.52</v>
      </c>
    </row>
    <row r="33" spans="1:6" x14ac:dyDescent="0.3">
      <c r="A33" s="5" t="s">
        <v>116</v>
      </c>
      <c r="B33">
        <v>11220.06</v>
      </c>
      <c r="C33">
        <v>2546.56</v>
      </c>
      <c r="D33">
        <v>22.7</v>
      </c>
      <c r="E33">
        <v>26</v>
      </c>
      <c r="F33">
        <v>431.54</v>
      </c>
    </row>
    <row r="34" spans="1:6" x14ac:dyDescent="0.3">
      <c r="A34" s="5" t="s">
        <v>117</v>
      </c>
      <c r="B34">
        <v>10771.34</v>
      </c>
      <c r="C34">
        <v>3172.98</v>
      </c>
      <c r="D34">
        <v>29.46</v>
      </c>
      <c r="E34">
        <v>26</v>
      </c>
      <c r="F34">
        <v>414.28</v>
      </c>
    </row>
    <row r="35" spans="1:6" x14ac:dyDescent="0.3">
      <c r="A35" s="5" t="s">
        <v>118</v>
      </c>
      <c r="B35">
        <v>9217.0300000000007</v>
      </c>
      <c r="C35">
        <v>2196.09</v>
      </c>
      <c r="D35">
        <v>23.83</v>
      </c>
      <c r="E35">
        <v>21</v>
      </c>
      <c r="F35">
        <v>438.91</v>
      </c>
    </row>
    <row r="36" spans="1:6" x14ac:dyDescent="0.3">
      <c r="A36" s="5" t="s">
        <v>119</v>
      </c>
      <c r="B36">
        <v>8929.3700000000008</v>
      </c>
      <c r="C36">
        <v>2244.98</v>
      </c>
      <c r="D36">
        <v>25.14</v>
      </c>
      <c r="E36">
        <v>6</v>
      </c>
      <c r="F36">
        <v>1488.23</v>
      </c>
    </row>
    <row r="37" spans="1:6" x14ac:dyDescent="0.3">
      <c r="A37" s="5" t="s">
        <v>120</v>
      </c>
      <c r="B37">
        <v>8481.7099999999991</v>
      </c>
      <c r="C37">
        <v>1769.08</v>
      </c>
      <c r="D37">
        <v>20.86</v>
      </c>
      <c r="E37">
        <v>20</v>
      </c>
      <c r="F37">
        <v>424.09</v>
      </c>
    </row>
    <row r="38" spans="1:6" x14ac:dyDescent="0.3">
      <c r="A38" s="5" t="s">
        <v>121</v>
      </c>
      <c r="B38">
        <v>7464.93</v>
      </c>
      <c r="C38">
        <v>2037.1</v>
      </c>
      <c r="D38">
        <v>27.29</v>
      </c>
      <c r="E38">
        <v>23</v>
      </c>
      <c r="F38">
        <v>324.56</v>
      </c>
    </row>
    <row r="39" spans="1:6" x14ac:dyDescent="0.3">
      <c r="A39" s="5" t="s">
        <v>122</v>
      </c>
      <c r="B39">
        <v>7292.52</v>
      </c>
      <c r="C39">
        <v>1706.5</v>
      </c>
      <c r="D39">
        <v>23.4</v>
      </c>
      <c r="E39">
        <v>17</v>
      </c>
      <c r="F39">
        <v>428.97</v>
      </c>
    </row>
    <row r="40" spans="1:6" x14ac:dyDescent="0.3">
      <c r="A40" s="5" t="s">
        <v>123</v>
      </c>
      <c r="B40">
        <v>5589.35</v>
      </c>
      <c r="C40">
        <v>1833.32</v>
      </c>
      <c r="D40">
        <v>32.799999999999997</v>
      </c>
      <c r="E40">
        <v>8</v>
      </c>
      <c r="F40">
        <v>698.67</v>
      </c>
    </row>
    <row r="41" spans="1:6" x14ac:dyDescent="0.3">
      <c r="A41" s="5" t="s">
        <v>124</v>
      </c>
      <c r="B41">
        <v>4783.54</v>
      </c>
      <c r="C41">
        <v>1157.1300000000001</v>
      </c>
      <c r="D41">
        <v>24.19</v>
      </c>
      <c r="E41">
        <v>22</v>
      </c>
      <c r="F41">
        <v>217.43</v>
      </c>
    </row>
    <row r="42" spans="1:6" x14ac:dyDescent="0.3">
      <c r="A42" s="5" t="s">
        <v>125</v>
      </c>
      <c r="B42">
        <v>4579.76</v>
      </c>
      <c r="C42">
        <v>1183.81</v>
      </c>
      <c r="D42">
        <v>25.85</v>
      </c>
      <c r="E42">
        <v>17</v>
      </c>
      <c r="F42">
        <v>269.39999999999998</v>
      </c>
    </row>
    <row r="43" spans="1:6" x14ac:dyDescent="0.3">
      <c r="A43" s="5" t="s">
        <v>126</v>
      </c>
      <c r="B43">
        <v>4382.49</v>
      </c>
      <c r="C43">
        <v>826.73</v>
      </c>
      <c r="D43">
        <v>18.86</v>
      </c>
      <c r="E43">
        <v>11</v>
      </c>
      <c r="F43">
        <v>398.41</v>
      </c>
    </row>
    <row r="44" spans="1:6" x14ac:dyDescent="0.3">
      <c r="A44" s="5" t="s">
        <v>127</v>
      </c>
      <c r="B44">
        <v>2914.31</v>
      </c>
      <c r="C44">
        <v>836.45</v>
      </c>
      <c r="D44">
        <v>28.7</v>
      </c>
      <c r="E44">
        <v>14</v>
      </c>
      <c r="F44">
        <v>208.17</v>
      </c>
    </row>
    <row r="45" spans="1:6" x14ac:dyDescent="0.3">
      <c r="A45" s="5" t="s">
        <v>128</v>
      </c>
      <c r="B45">
        <v>2865.02</v>
      </c>
      <c r="C45">
        <v>1059.5899999999999</v>
      </c>
      <c r="D45">
        <v>36.979999999999997</v>
      </c>
      <c r="E45">
        <v>4</v>
      </c>
      <c r="F45">
        <v>716.26</v>
      </c>
    </row>
    <row r="46" spans="1:6" x14ac:dyDescent="0.3">
      <c r="A46" s="5" t="s">
        <v>129</v>
      </c>
      <c r="B46">
        <v>1603.14</v>
      </c>
      <c r="C46">
        <v>100.2</v>
      </c>
      <c r="D46">
        <v>6.25</v>
      </c>
      <c r="E46">
        <v>1</v>
      </c>
      <c r="F46">
        <v>1603.14</v>
      </c>
    </row>
    <row r="47" spans="1:6" x14ac:dyDescent="0.3">
      <c r="A47" s="5" t="s">
        <v>130</v>
      </c>
      <c r="B47">
        <v>1315.56</v>
      </c>
      <c r="C47">
        <v>394.84</v>
      </c>
      <c r="D47">
        <v>30.01</v>
      </c>
      <c r="E47">
        <v>5</v>
      </c>
      <c r="F47">
        <v>263.11</v>
      </c>
    </row>
    <row r="48" spans="1:6" x14ac:dyDescent="0.3">
      <c r="A48" s="5" t="s">
        <v>131</v>
      </c>
      <c r="B48">
        <v>1270.53</v>
      </c>
      <c r="C48">
        <v>454.5</v>
      </c>
      <c r="D48">
        <v>35.770000000000003</v>
      </c>
      <c r="E48">
        <v>3</v>
      </c>
      <c r="F48">
        <v>423.51</v>
      </c>
    </row>
    <row r="49" spans="1:6" x14ac:dyDescent="0.3">
      <c r="A49" s="5" t="s">
        <v>132</v>
      </c>
      <c r="B49">
        <v>1209.82</v>
      </c>
      <c r="C49">
        <v>185.93</v>
      </c>
      <c r="D49">
        <v>15.37</v>
      </c>
      <c r="E49">
        <v>2</v>
      </c>
      <c r="F49">
        <v>604.91</v>
      </c>
    </row>
    <row r="50" spans="1:6" x14ac:dyDescent="0.3">
      <c r="A50" s="5" t="s">
        <v>133</v>
      </c>
      <c r="B50">
        <v>919.91</v>
      </c>
      <c r="C50">
        <v>230.14</v>
      </c>
      <c r="D50">
        <v>25.02</v>
      </c>
      <c r="E50">
        <v>2</v>
      </c>
      <c r="F50">
        <v>459.96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FA8409-8275-46E4-9131-E2CB231729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KPIS</vt:lpstr>
      <vt:lpstr>Yearly</vt:lpstr>
      <vt:lpstr>YOY_Growth</vt:lpstr>
      <vt:lpstr>Monthly</vt:lpstr>
      <vt:lpstr>Montly_Pivot</vt:lpstr>
      <vt:lpstr>Regional</vt:lpstr>
      <vt:lpstr>Category</vt:lpstr>
      <vt:lpstr>Top_Products</vt:lpstr>
      <vt:lpstr>Bottom_Products</vt:lpstr>
      <vt:lpstr>Segments</vt:lpstr>
      <vt:lpstr>Shipping</vt:lpstr>
      <vt:lpstr>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Jigi Mathew</dc:creator>
  <cp:lastModifiedBy>Allan Jigi Mathew</cp:lastModifiedBy>
  <dcterms:created xsi:type="dcterms:W3CDTF">2026-07-03T15:13:43Z</dcterms:created>
  <dcterms:modified xsi:type="dcterms:W3CDTF">2026-07-05T08:07:36Z</dcterms:modified>
</cp:coreProperties>
</file>